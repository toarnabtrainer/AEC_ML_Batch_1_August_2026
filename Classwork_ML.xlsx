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 Corporate Training\Ericsson MS-Excel AI\"/>
    </mc:Choice>
  </mc:AlternateContent>
  <xr:revisionPtr revIDLastSave="0" documentId="13_ncr:1_{1E5FE4AF-1417-48DE-8744-1E4746E2D028}" xr6:coauthVersionLast="47" xr6:coauthVersionMax="47" xr10:uidLastSave="{00000000-0000-0000-0000-000000000000}"/>
  <bookViews>
    <workbookView xWindow="-108" yWindow="-108" windowWidth="23256" windowHeight="12456" tabRatio="823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2" l="1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I60" i="1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2" i="1"/>
  <c r="N16" i="1"/>
</calcChain>
</file>

<file path=xl/sharedStrings.xml><?xml version="1.0" encoding="utf-8"?>
<sst xmlns="http://schemas.openxmlformats.org/spreadsheetml/2006/main" count="1038" uniqueCount="227">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</sst>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3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312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1" fillId="0" borderId="0" xfId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4" fillId="0" borderId="5" xfId="1" applyFont="1" applyBorder="1" applyAlignment="1">
      <alignment horizontal="center"/>
    </xf>
    <xf numFmtId="0" fontId="2" fillId="2" borderId="1" xfId="1" applyFont="1" applyFill="1" applyBorder="1" applyAlignment="1">
      <alignment horizontal="left"/>
    </xf>
    <xf numFmtId="0" fontId="1" fillId="0" borderId="6" xfId="1" applyBorder="1" applyAlignment="1">
      <alignment horizontal="left"/>
    </xf>
    <xf numFmtId="0" fontId="1" fillId="2" borderId="7" xfId="1" applyFill="1" applyBorder="1" applyAlignment="1">
      <alignment horizontal="left"/>
    </xf>
    <xf numFmtId="0" fontId="2" fillId="0" borderId="8" xfId="1" applyFont="1" applyBorder="1" applyAlignment="1">
      <alignment horizontal="left"/>
    </xf>
    <xf numFmtId="0" fontId="1" fillId="0" borderId="9" xfId="1" applyBorder="1" applyAlignment="1">
      <alignment horizontal="left"/>
    </xf>
    <xf numFmtId="0" fontId="3" fillId="0" borderId="0" xfId="1" applyFont="1" applyAlignment="1">
      <alignment horizontal="left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8" xfId="1" applyFont="1" applyBorder="1"/>
    <xf numFmtId="0" fontId="2" fillId="2" borderId="1" xfId="1" applyFont="1" applyFill="1" applyBorder="1"/>
    <xf numFmtId="0" fontId="2" fillId="0" borderId="10" xfId="1" applyFont="1" applyBorder="1"/>
    <xf numFmtId="0" fontId="1" fillId="0" borderId="5" xfId="1" applyBorder="1" applyAlignment="1">
      <alignment horizontal="left"/>
    </xf>
    <xf numFmtId="0" fontId="1" fillId="0" borderId="4" xfId="1" applyBorder="1" applyAlignment="1">
      <alignment horizontal="left"/>
    </xf>
    <xf numFmtId="0" fontId="2" fillId="0" borderId="0" xfId="1" applyFont="1"/>
    <xf numFmtId="0" fontId="3" fillId="0" borderId="11" xfId="1" applyFont="1" applyBorder="1" applyAlignment="1">
      <alignment horizontal="center"/>
    </xf>
    <xf numFmtId="0" fontId="1" fillId="0" borderId="6" xfId="1" applyBorder="1"/>
    <xf numFmtId="0" fontId="1" fillId="0" borderId="7" xfId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0" borderId="5" xfId="1" applyBorder="1"/>
    <xf numFmtId="0" fontId="5" fillId="3" borderId="12" xfId="1" applyFont="1" applyFill="1" applyBorder="1" applyAlignment="1">
      <alignment vertical="center" wrapText="1"/>
    </xf>
    <xf numFmtId="0" fontId="6" fillId="3" borderId="12" xfId="1" applyFont="1" applyFill="1" applyBorder="1" applyAlignment="1">
      <alignment vertical="center" wrapText="1"/>
    </xf>
    <xf numFmtId="0" fontId="6" fillId="4" borderId="12" xfId="1" applyFont="1" applyFill="1" applyBorder="1" applyAlignment="1">
      <alignment vertical="center" wrapText="1"/>
    </xf>
    <xf numFmtId="0" fontId="8" fillId="0" borderId="0" xfId="1" applyFont="1" applyAlignment="1">
      <alignment horizontal="left" vertical="center" indent="2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wrapText="1"/>
    </xf>
    <xf numFmtId="0" fontId="2" fillId="0" borderId="17" xfId="1" applyFont="1" applyBorder="1" applyAlignment="1">
      <alignment horizontal="center" vertical="center" wrapText="1"/>
    </xf>
    <xf numFmtId="0" fontId="1" fillId="0" borderId="18" xfId="1" applyBorder="1"/>
    <xf numFmtId="164" fontId="1" fillId="0" borderId="19" xfId="1" applyNumberFormat="1" applyBorder="1"/>
    <xf numFmtId="164" fontId="1" fillId="0" borderId="20" xfId="1" applyNumberFormat="1" applyBorder="1"/>
    <xf numFmtId="0" fontId="1" fillId="0" borderId="21" xfId="1" applyBorder="1"/>
    <xf numFmtId="165" fontId="1" fillId="0" borderId="18" xfId="1" applyNumberFormat="1" applyBorder="1"/>
    <xf numFmtId="0" fontId="1" fillId="0" borderId="22" xfId="1" applyBorder="1"/>
    <xf numFmtId="0" fontId="2" fillId="0" borderId="0" xfId="1" applyFont="1" applyAlignment="1">
      <alignment horizontal="center"/>
    </xf>
    <xf numFmtId="0" fontId="1" fillId="0" borderId="23" xfId="1" applyBorder="1"/>
    <xf numFmtId="164" fontId="1" fillId="0" borderId="24" xfId="1" applyNumberFormat="1" applyBorder="1"/>
    <xf numFmtId="164" fontId="1" fillId="0" borderId="12" xfId="1" applyNumberFormat="1" applyBorder="1"/>
    <xf numFmtId="0" fontId="1" fillId="0" borderId="25" xfId="1" applyBorder="1"/>
    <xf numFmtId="165" fontId="1" fillId="0" borderId="26" xfId="1" applyNumberFormat="1" applyBorder="1"/>
    <xf numFmtId="0" fontId="1" fillId="0" borderId="27" xfId="1" applyBorder="1"/>
    <xf numFmtId="164" fontId="1" fillId="0" borderId="0" xfId="1" applyNumberFormat="1"/>
    <xf numFmtId="0" fontId="12" fillId="0" borderId="0" xfId="2"/>
    <xf numFmtId="0" fontId="1" fillId="0" borderId="28" xfId="1" applyBorder="1"/>
    <xf numFmtId="164" fontId="1" fillId="0" borderId="29" xfId="1" applyNumberFormat="1" applyBorder="1"/>
    <xf numFmtId="164" fontId="1" fillId="0" borderId="30" xfId="1" applyNumberFormat="1" applyBorder="1"/>
    <xf numFmtId="0" fontId="1" fillId="0" borderId="31" xfId="1" applyBorder="1"/>
    <xf numFmtId="165" fontId="1" fillId="0" borderId="3" xfId="1" applyNumberFormat="1" applyBorder="1"/>
    <xf numFmtId="0" fontId="1" fillId="0" borderId="32" xfId="1" applyBorder="1"/>
    <xf numFmtId="0" fontId="2" fillId="0" borderId="33" xfId="1" applyFont="1" applyBorder="1" applyAlignment="1">
      <alignment horizontal="center" vertical="center"/>
    </xf>
    <xf numFmtId="0" fontId="2" fillId="5" borderId="14" xfId="1" applyFont="1" applyFill="1" applyBorder="1" applyAlignment="1">
      <alignment horizontal="center" vertical="center" wrapText="1"/>
    </xf>
    <xf numFmtId="0" fontId="2" fillId="5" borderId="16" xfId="1" applyFont="1" applyFill="1" applyBorder="1" applyAlignment="1">
      <alignment horizontal="center" vertical="center"/>
    </xf>
    <xf numFmtId="0" fontId="2" fillId="6" borderId="17" xfId="1" applyFont="1" applyFill="1" applyBorder="1" applyAlignment="1">
      <alignment horizontal="center" vertical="center" wrapText="1"/>
    </xf>
    <xf numFmtId="0" fontId="2" fillId="6" borderId="16" xfId="1" applyFont="1" applyFill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36" xfId="1" applyBorder="1"/>
    <xf numFmtId="165" fontId="1" fillId="0" borderId="37" xfId="1" applyNumberFormat="1" applyBorder="1"/>
    <xf numFmtId="0" fontId="1" fillId="0" borderId="28" xfId="1" applyBorder="1" applyAlignment="1">
      <alignment horizontal="center"/>
    </xf>
    <xf numFmtId="0" fontId="1" fillId="0" borderId="38" xfId="1" applyBorder="1"/>
    <xf numFmtId="165" fontId="1" fillId="0" borderId="39" xfId="1" applyNumberFormat="1" applyBorder="1"/>
    <xf numFmtId="0" fontId="2" fillId="0" borderId="40" xfId="1" applyFont="1" applyBorder="1" applyAlignment="1">
      <alignment horizontal="center" vertical="center" wrapText="1"/>
    </xf>
    <xf numFmtId="0" fontId="2" fillId="0" borderId="41" xfId="1" applyFont="1" applyBorder="1" applyAlignment="1">
      <alignment horizontal="center" vertical="center" wrapText="1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1" fillId="0" borderId="44" xfId="1" applyBorder="1"/>
    <xf numFmtId="164" fontId="1" fillId="0" borderId="45" xfId="1" applyNumberFormat="1" applyBorder="1"/>
    <xf numFmtId="164" fontId="1" fillId="0" borderId="46" xfId="1" applyNumberFormat="1" applyBorder="1"/>
    <xf numFmtId="0" fontId="1" fillId="0" borderId="47" xfId="1" applyBorder="1"/>
    <xf numFmtId="165" fontId="1" fillId="0" borderId="45" xfId="1" applyNumberFormat="1" applyBorder="1"/>
    <xf numFmtId="0" fontId="1" fillId="0" borderId="48" xfId="1" applyBorder="1"/>
    <xf numFmtId="2" fontId="1" fillId="0" borderId="49" xfId="1" applyNumberFormat="1" applyBorder="1"/>
    <xf numFmtId="0" fontId="1" fillId="0" borderId="50" xfId="1" applyBorder="1"/>
    <xf numFmtId="164" fontId="1" fillId="0" borderId="37" xfId="1" applyNumberFormat="1" applyBorder="1"/>
    <xf numFmtId="0" fontId="1" fillId="0" borderId="24" xfId="1" applyBorder="1"/>
    <xf numFmtId="0" fontId="2" fillId="0" borderId="15" xfId="1" applyFont="1" applyBorder="1" applyAlignment="1">
      <alignment horizontal="center" vertical="center" wrapText="1"/>
    </xf>
    <xf numFmtId="0" fontId="2" fillId="0" borderId="1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51" xfId="1" applyBorder="1"/>
    <xf numFmtId="0" fontId="1" fillId="0" borderId="52" xfId="1" applyBorder="1"/>
    <xf numFmtId="0" fontId="1" fillId="0" borderId="53" xfId="1" applyBorder="1"/>
    <xf numFmtId="0" fontId="1" fillId="0" borderId="1" xfId="1" applyBorder="1"/>
    <xf numFmtId="0" fontId="1" fillId="0" borderId="54" xfId="1" applyBorder="1"/>
    <xf numFmtId="164" fontId="1" fillId="0" borderId="55" xfId="1" applyNumberFormat="1" applyBorder="1"/>
    <xf numFmtId="164" fontId="1" fillId="0" borderId="56" xfId="1" applyNumberFormat="1" applyBorder="1"/>
    <xf numFmtId="0" fontId="1" fillId="0" borderId="57" xfId="1" applyBorder="1"/>
    <xf numFmtId="0" fontId="1" fillId="0" borderId="58" xfId="1" applyBorder="1"/>
    <xf numFmtId="2" fontId="1" fillId="0" borderId="24" xfId="1" applyNumberFormat="1" applyBorder="1"/>
    <xf numFmtId="2" fontId="1" fillId="0" borderId="58" xfId="1" applyNumberFormat="1" applyBorder="1"/>
    <xf numFmtId="0" fontId="2" fillId="0" borderId="60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61" xfId="1" applyBorder="1" applyAlignment="1">
      <alignment horizontal="center"/>
    </xf>
    <xf numFmtId="2" fontId="1" fillId="0" borderId="8" xfId="1" applyNumberFormat="1" applyBorder="1"/>
    <xf numFmtId="2" fontId="1" fillId="0" borderId="0" xfId="1" applyNumberFormat="1"/>
    <xf numFmtId="0" fontId="1" fillId="0" borderId="3" xfId="1" applyBorder="1" applyAlignment="1">
      <alignment horizontal="center"/>
    </xf>
    <xf numFmtId="2" fontId="1" fillId="0" borderId="10" xfId="1" applyNumberFormat="1" applyBorder="1"/>
    <xf numFmtId="2" fontId="1" fillId="0" borderId="5" xfId="1" applyNumberFormat="1" applyBorder="1"/>
    <xf numFmtId="0" fontId="2" fillId="0" borderId="59" xfId="1" applyFont="1" applyBorder="1"/>
    <xf numFmtId="2" fontId="1" fillId="0" borderId="59" xfId="1" applyNumberFormat="1" applyBorder="1"/>
    <xf numFmtId="2" fontId="1" fillId="0" borderId="7" xfId="1" applyNumberFormat="1" applyBorder="1"/>
    <xf numFmtId="2" fontId="1" fillId="0" borderId="4" xfId="1" applyNumberFormat="1" applyBorder="1"/>
    <xf numFmtId="2" fontId="1" fillId="0" borderId="9" xfId="1" applyNumberFormat="1" applyBorder="1"/>
    <xf numFmtId="0" fontId="2" fillId="0" borderId="59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2" fontId="1" fillId="0" borderId="35" xfId="1" applyNumberFormat="1" applyBorder="1"/>
    <xf numFmtId="2" fontId="1" fillId="0" borderId="21" xfId="1" applyNumberFormat="1" applyBorder="1"/>
    <xf numFmtId="2" fontId="1" fillId="0" borderId="37" xfId="1" applyNumberFormat="1" applyBorder="1"/>
    <xf numFmtId="2" fontId="1" fillId="0" borderId="25" xfId="1" applyNumberFormat="1" applyBorder="1"/>
    <xf numFmtId="2" fontId="1" fillId="0" borderId="39" xfId="1" applyNumberFormat="1" applyBorder="1"/>
    <xf numFmtId="2" fontId="1" fillId="0" borderId="31" xfId="1" applyNumberFormat="1" applyBorder="1"/>
    <xf numFmtId="0" fontId="15" fillId="0" borderId="0" xfId="1" applyFont="1" applyAlignment="1">
      <alignment horizontal="center"/>
    </xf>
    <xf numFmtId="0" fontId="1" fillId="0" borderId="1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34" xfId="1" applyBorder="1" applyAlignment="1">
      <alignment horizontal="center"/>
    </xf>
    <xf numFmtId="0" fontId="1" fillId="0" borderId="24" xfId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36" xfId="1" applyBorder="1" applyAlignment="1">
      <alignment horizontal="center"/>
    </xf>
    <xf numFmtId="0" fontId="11" fillId="2" borderId="36" xfId="1" applyFont="1" applyFill="1" applyBorder="1" applyAlignment="1">
      <alignment horizontal="center"/>
    </xf>
    <xf numFmtId="0" fontId="1" fillId="0" borderId="58" xfId="1" applyBorder="1" applyAlignment="1">
      <alignment horizontal="center"/>
    </xf>
    <xf numFmtId="0" fontId="1" fillId="0" borderId="56" xfId="1" applyBorder="1" applyAlignment="1">
      <alignment horizontal="center"/>
    </xf>
    <xf numFmtId="0" fontId="11" fillId="2" borderId="56" xfId="1" applyFont="1" applyFill="1" applyBorder="1" applyAlignment="1">
      <alignment horizontal="center"/>
    </xf>
    <xf numFmtId="0" fontId="1" fillId="0" borderId="57" xfId="1" applyBorder="1" applyAlignment="1">
      <alignment horizontal="center"/>
    </xf>
    <xf numFmtId="0" fontId="13" fillId="7" borderId="1" xfId="1" applyFont="1" applyFill="1" applyBorder="1" applyAlignment="1">
      <alignment horizontal="center"/>
    </xf>
    <xf numFmtId="0" fontId="13" fillId="7" borderId="17" xfId="1" applyFont="1" applyFill="1" applyBorder="1" applyAlignment="1">
      <alignment horizontal="center"/>
    </xf>
    <xf numFmtId="0" fontId="13" fillId="7" borderId="15" xfId="1" applyFont="1" applyFill="1" applyBorder="1" applyAlignment="1">
      <alignment horizontal="center"/>
    </xf>
    <xf numFmtId="0" fontId="13" fillId="7" borderId="16" xfId="1" applyFont="1" applyFill="1" applyBorder="1" applyAlignment="1">
      <alignment horizontal="center"/>
    </xf>
    <xf numFmtId="0" fontId="13" fillId="7" borderId="26" xfId="1" applyFont="1" applyFill="1" applyBorder="1" applyAlignment="1">
      <alignment horizontal="center"/>
    </xf>
    <xf numFmtId="0" fontId="1" fillId="8" borderId="19" xfId="1" applyFill="1" applyBorder="1" applyAlignment="1">
      <alignment horizontal="center"/>
    </xf>
    <xf numFmtId="0" fontId="1" fillId="8" borderId="20" xfId="1" applyFill="1" applyBorder="1" applyAlignment="1">
      <alignment horizontal="center"/>
    </xf>
    <xf numFmtId="0" fontId="1" fillId="8" borderId="21" xfId="1" applyFill="1" applyBorder="1" applyAlignment="1">
      <alignment horizontal="center"/>
    </xf>
    <xf numFmtId="0" fontId="13" fillId="7" borderId="23" xfId="1" applyFont="1" applyFill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8" borderId="24" xfId="1" applyFill="1" applyBorder="1" applyAlignment="1">
      <alignment horizontal="center"/>
    </xf>
    <xf numFmtId="0" fontId="1" fillId="8" borderId="12" xfId="1" applyFill="1" applyBorder="1" applyAlignment="1">
      <alignment horizontal="center"/>
    </xf>
    <xf numFmtId="0" fontId="1" fillId="8" borderId="25" xfId="1" applyFill="1" applyBorder="1" applyAlignment="1">
      <alignment horizontal="center"/>
    </xf>
    <xf numFmtId="0" fontId="11" fillId="2" borderId="25" xfId="1" applyFont="1" applyFill="1" applyBorder="1" applyAlignment="1">
      <alignment horizontal="center"/>
    </xf>
    <xf numFmtId="0" fontId="13" fillId="7" borderId="28" xfId="1" applyFont="1" applyFill="1" applyBorder="1" applyAlignment="1">
      <alignment horizontal="center"/>
    </xf>
    <xf numFmtId="0" fontId="1" fillId="8" borderId="29" xfId="1" applyFill="1" applyBorder="1" applyAlignment="1">
      <alignment horizontal="center"/>
    </xf>
    <xf numFmtId="0" fontId="1" fillId="8" borderId="30" xfId="1" applyFill="1" applyBorder="1" applyAlignment="1">
      <alignment horizontal="center"/>
    </xf>
    <xf numFmtId="0" fontId="11" fillId="2" borderId="30" xfId="1" applyFont="1" applyFill="1" applyBorder="1" applyAlignment="1">
      <alignment horizontal="center"/>
    </xf>
    <xf numFmtId="0" fontId="1" fillId="8" borderId="53" xfId="1" applyFill="1" applyBorder="1" applyAlignment="1">
      <alignment horizontal="center"/>
    </xf>
    <xf numFmtId="0" fontId="11" fillId="9" borderId="20" xfId="1" applyFont="1" applyFill="1" applyBorder="1" applyAlignment="1">
      <alignment horizontal="center"/>
    </xf>
    <xf numFmtId="0" fontId="11" fillId="2" borderId="12" xfId="1" applyFont="1" applyFill="1" applyBorder="1" applyAlignment="1">
      <alignment horizontal="center"/>
    </xf>
    <xf numFmtId="0" fontId="11" fillId="9" borderId="12" xfId="1" applyFont="1" applyFill="1" applyBorder="1" applyAlignment="1">
      <alignment horizontal="center"/>
    </xf>
    <xf numFmtId="0" fontId="11" fillId="2" borderId="24" xfId="1" applyFont="1" applyFill="1" applyBorder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" fillId="0" borderId="50" xfId="1" applyBorder="1" applyAlignment="1">
      <alignment vertical="center"/>
    </xf>
    <xf numFmtId="164" fontId="1" fillId="0" borderId="37" xfId="1" applyNumberFormat="1" applyBorder="1" applyAlignment="1">
      <alignment vertical="center"/>
    </xf>
    <xf numFmtId="164" fontId="1" fillId="0" borderId="12" xfId="1" applyNumberFormat="1" applyBorder="1" applyAlignment="1">
      <alignment vertical="center"/>
    </xf>
    <xf numFmtId="0" fontId="1" fillId="0" borderId="36" xfId="1" applyBorder="1" applyAlignment="1">
      <alignment vertical="center"/>
    </xf>
    <xf numFmtId="165" fontId="1" fillId="0" borderId="37" xfId="1" applyNumberFormat="1" applyBorder="1" applyAlignment="1">
      <alignment vertical="center"/>
    </xf>
    <xf numFmtId="0" fontId="1" fillId="0" borderId="25" xfId="1" applyBorder="1" applyAlignment="1">
      <alignment vertical="center"/>
    </xf>
    <xf numFmtId="0" fontId="1" fillId="0" borderId="24" xfId="1" applyBorder="1" applyAlignment="1">
      <alignment vertical="center"/>
    </xf>
    <xf numFmtId="0" fontId="1" fillId="0" borderId="0" xfId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12" fillId="0" borderId="34" xfId="2" applyBorder="1"/>
    <xf numFmtId="0" fontId="12" fillId="0" borderId="36" xfId="2" applyBorder="1"/>
    <xf numFmtId="0" fontId="12" fillId="0" borderId="38" xfId="2" applyBorder="1"/>
    <xf numFmtId="165" fontId="1" fillId="6" borderId="8" xfId="1" applyNumberFormat="1" applyFill="1" applyBorder="1"/>
    <xf numFmtId="165" fontId="1" fillId="6" borderId="0" xfId="1" applyNumberFormat="1" applyFill="1"/>
    <xf numFmtId="165" fontId="1" fillId="6" borderId="10" xfId="1" applyNumberFormat="1" applyFill="1" applyBorder="1"/>
    <xf numFmtId="165" fontId="1" fillId="6" borderId="5" xfId="1" applyNumberFormat="1" applyFill="1" applyBorder="1"/>
    <xf numFmtId="0" fontId="18" fillId="0" borderId="17" xfId="1" applyFont="1" applyBorder="1" applyAlignment="1">
      <alignment horizontal="center" vertical="center"/>
    </xf>
    <xf numFmtId="0" fontId="2" fillId="2" borderId="15" xfId="1" applyFont="1" applyFill="1" applyBorder="1" applyAlignment="1">
      <alignment horizontal="center"/>
    </xf>
    <xf numFmtId="0" fontId="1" fillId="0" borderId="35" xfId="1" applyBorder="1"/>
    <xf numFmtId="0" fontId="1" fillId="0" borderId="19" xfId="1" applyBorder="1"/>
    <xf numFmtId="0" fontId="1" fillId="0" borderId="20" xfId="1" applyBorder="1"/>
    <xf numFmtId="0" fontId="1" fillId="0" borderId="26" xfId="1" applyBorder="1"/>
    <xf numFmtId="0" fontId="1" fillId="0" borderId="37" xfId="1" applyBorder="1"/>
    <xf numFmtId="0" fontId="1" fillId="0" borderId="12" xfId="1" applyBorder="1"/>
    <xf numFmtId="0" fontId="1" fillId="0" borderId="39" xfId="1" applyBorder="1"/>
    <xf numFmtId="0" fontId="1" fillId="0" borderId="29" xfId="1" applyBorder="1"/>
    <xf numFmtId="0" fontId="1" fillId="0" borderId="30" xfId="1" applyBorder="1"/>
    <xf numFmtId="2" fontId="1" fillId="0" borderId="46" xfId="1" applyNumberFormat="1" applyBorder="1"/>
    <xf numFmtId="2" fontId="1" fillId="0" borderId="48" xfId="1" applyNumberFormat="1" applyBorder="1"/>
    <xf numFmtId="2" fontId="1" fillId="0" borderId="18" xfId="1" applyNumberFormat="1" applyBorder="1"/>
    <xf numFmtId="2" fontId="1" fillId="0" borderId="29" xfId="1" applyNumberFormat="1" applyBorder="1"/>
    <xf numFmtId="2" fontId="1" fillId="0" borderId="30" xfId="1" applyNumberFormat="1" applyBorder="1"/>
    <xf numFmtId="2" fontId="1" fillId="0" borderId="28" xfId="1" applyNumberFormat="1" applyBorder="1"/>
    <xf numFmtId="2" fontId="1" fillId="0" borderId="40" xfId="1" applyNumberFormat="1" applyBorder="1"/>
    <xf numFmtId="2" fontId="1" fillId="0" borderId="62" xfId="1" applyNumberFormat="1" applyBorder="1"/>
    <xf numFmtId="2" fontId="1" fillId="2" borderId="62" xfId="1" applyNumberFormat="1" applyFill="1" applyBorder="1"/>
    <xf numFmtId="2" fontId="1" fillId="0" borderId="42" xfId="1" applyNumberFormat="1" applyBorder="1"/>
    <xf numFmtId="2" fontId="1" fillId="0" borderId="3" xfId="1" applyNumberFormat="1" applyBorder="1"/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10" borderId="16" xfId="1" applyFont="1" applyFill="1" applyBorder="1" applyAlignment="1">
      <alignment horizontal="center"/>
    </xf>
    <xf numFmtId="0" fontId="2" fillId="10" borderId="17" xfId="1" applyFont="1" applyFill="1" applyBorder="1" applyAlignment="1">
      <alignment horizontal="center"/>
    </xf>
    <xf numFmtId="0" fontId="2" fillId="10" borderId="33" xfId="1" applyFont="1" applyFill="1" applyBorder="1" applyAlignment="1">
      <alignment horizontal="center"/>
    </xf>
    <xf numFmtId="0" fontId="2" fillId="10" borderId="1" xfId="1" applyFont="1" applyFill="1" applyBorder="1" applyAlignment="1">
      <alignment horizontal="center"/>
    </xf>
    <xf numFmtId="2" fontId="1" fillId="0" borderId="20" xfId="1" applyNumberFormat="1" applyBorder="1"/>
    <xf numFmtId="2" fontId="1" fillId="0" borderId="19" xfId="1" applyNumberFormat="1" applyBorder="1"/>
    <xf numFmtId="2" fontId="1" fillId="0" borderId="34" xfId="1" applyNumberFormat="1" applyBorder="1"/>
    <xf numFmtId="2" fontId="1" fillId="0" borderId="12" xfId="1" applyNumberFormat="1" applyBorder="1"/>
    <xf numFmtId="2" fontId="1" fillId="0" borderId="36" xfId="1" applyNumberFormat="1" applyBorder="1"/>
    <xf numFmtId="2" fontId="1" fillId="0" borderId="38" xfId="1" applyNumberFormat="1" applyBorder="1"/>
    <xf numFmtId="0" fontId="19" fillId="0" borderId="1" xfId="2" applyFont="1" applyBorder="1" applyAlignment="1">
      <alignment horizontal="center"/>
    </xf>
    <xf numFmtId="0" fontId="19" fillId="0" borderId="17" xfId="2" applyFont="1" applyBorder="1" applyAlignment="1">
      <alignment horizontal="center"/>
    </xf>
    <xf numFmtId="0" fontId="19" fillId="0" borderId="33" xfId="2" applyFont="1" applyBorder="1" applyAlignment="1">
      <alignment horizontal="center"/>
    </xf>
    <xf numFmtId="0" fontId="12" fillId="0" borderId="26" xfId="2" applyBorder="1" applyAlignment="1">
      <alignment horizontal="center"/>
    </xf>
    <xf numFmtId="0" fontId="12" fillId="0" borderId="19" xfId="2" applyBorder="1"/>
    <xf numFmtId="0" fontId="12" fillId="0" borderId="26" xfId="2" applyBorder="1"/>
    <xf numFmtId="0" fontId="12" fillId="0" borderId="23" xfId="2" applyBorder="1" applyAlignment="1">
      <alignment horizontal="center"/>
    </xf>
    <xf numFmtId="0" fontId="12" fillId="0" borderId="24" xfId="2" applyBorder="1"/>
    <xf numFmtId="0" fontId="12" fillId="0" borderId="23" xfId="2" applyBorder="1"/>
    <xf numFmtId="0" fontId="20" fillId="0" borderId="44" xfId="2" applyFont="1" applyBorder="1" applyAlignment="1">
      <alignment horizontal="centerContinuous"/>
    </xf>
    <xf numFmtId="0" fontId="12" fillId="0" borderId="28" xfId="2" applyBorder="1" applyAlignment="1">
      <alignment horizontal="center"/>
    </xf>
    <xf numFmtId="0" fontId="12" fillId="0" borderId="29" xfId="2" applyBorder="1"/>
    <xf numFmtId="0" fontId="12" fillId="0" borderId="28" xfId="2" applyBorder="1"/>
    <xf numFmtId="0" fontId="19" fillId="2" borderId="1" xfId="2" applyFont="1" applyFill="1" applyBorder="1"/>
    <xf numFmtId="0" fontId="12" fillId="0" borderId="5" xfId="2" applyBorder="1"/>
    <xf numFmtId="0" fontId="19" fillId="0" borderId="14" xfId="2" applyFont="1" applyBorder="1" applyAlignment="1">
      <alignment horizontal="center"/>
    </xf>
    <xf numFmtId="0" fontId="12" fillId="0" borderId="35" xfId="2" applyBorder="1"/>
    <xf numFmtId="0" fontId="12" fillId="0" borderId="39" xfId="2" applyBorder="1"/>
    <xf numFmtId="0" fontId="19" fillId="0" borderId="0" xfId="2" applyFont="1"/>
    <xf numFmtId="0" fontId="20" fillId="0" borderId="44" xfId="2" applyFont="1" applyBorder="1" applyAlignment="1">
      <alignment horizontal="center"/>
    </xf>
    <xf numFmtId="0" fontId="19" fillId="2" borderId="0" xfId="2" applyFont="1" applyFill="1"/>
    <xf numFmtId="0" fontId="19" fillId="0" borderId="12" xfId="2" applyFont="1" applyBorder="1" applyAlignment="1">
      <alignment horizontal="center"/>
    </xf>
    <xf numFmtId="0" fontId="12" fillId="0" borderId="12" xfId="2" applyBorder="1" applyAlignment="1">
      <alignment horizontal="center"/>
    </xf>
    <xf numFmtId="0" fontId="12" fillId="0" borderId="12" xfId="2" applyBorder="1"/>
    <xf numFmtId="0" fontId="19" fillId="0" borderId="0" xfId="2" applyFont="1" applyAlignment="1">
      <alignment horizontal="right"/>
    </xf>
    <xf numFmtId="10" fontId="12" fillId="0" borderId="0" xfId="2" applyNumberFormat="1"/>
    <xf numFmtId="0" fontId="12" fillId="0" borderId="0" xfId="2" applyAlignment="1">
      <alignment horizontal="center"/>
    </xf>
    <xf numFmtId="0" fontId="19" fillId="0" borderId="0" xfId="2" applyFont="1" applyAlignment="1">
      <alignment horizontal="center"/>
    </xf>
    <xf numFmtId="164" fontId="12" fillId="0" borderId="12" xfId="2" applyNumberFormat="1" applyBorder="1" applyAlignment="1">
      <alignment horizontal="center"/>
    </xf>
    <xf numFmtId="0" fontId="1" fillId="0" borderId="18" xfId="1" applyBorder="1" applyAlignment="1">
      <alignment horizontal="center"/>
    </xf>
    <xf numFmtId="164" fontId="1" fillId="0" borderId="49" xfId="1" applyNumberFormat="1" applyBorder="1"/>
    <xf numFmtId="0" fontId="1" fillId="0" borderId="63" xfId="1" applyBorder="1"/>
    <xf numFmtId="165" fontId="1" fillId="11" borderId="59" xfId="1" applyNumberFormat="1" applyFill="1" applyBorder="1"/>
    <xf numFmtId="165" fontId="1" fillId="11" borderId="6" xfId="1" applyNumberFormat="1" applyFill="1" applyBorder="1"/>
    <xf numFmtId="0" fontId="1" fillId="11" borderId="7" xfId="1" applyFill="1" applyBorder="1"/>
    <xf numFmtId="165" fontId="1" fillId="11" borderId="8" xfId="1" applyNumberFormat="1" applyFill="1" applyBorder="1"/>
    <xf numFmtId="0" fontId="1" fillId="11" borderId="9" xfId="1" applyFill="1" applyBorder="1"/>
    <xf numFmtId="0" fontId="1" fillId="6" borderId="9" xfId="1" applyFill="1" applyBorder="1"/>
    <xf numFmtId="0" fontId="1" fillId="6" borderId="4" xfId="1" applyFill="1" applyBorder="1"/>
    <xf numFmtId="165" fontId="1" fillId="11" borderId="0" xfId="1" applyNumberFormat="1" applyFill="1"/>
    <xf numFmtId="165" fontId="1" fillId="11" borderId="10" xfId="1" applyNumberFormat="1" applyFill="1" applyBorder="1"/>
    <xf numFmtId="165" fontId="1" fillId="11" borderId="5" xfId="1" applyNumberFormat="1" applyFill="1" applyBorder="1"/>
    <xf numFmtId="0" fontId="1" fillId="11" borderId="4" xfId="1" applyFill="1" applyBorder="1"/>
    <xf numFmtId="0" fontId="1" fillId="6" borderId="0" xfId="1" applyFill="1"/>
    <xf numFmtId="0" fontId="1" fillId="6" borderId="5" xfId="1" applyFill="1" applyBorder="1"/>
    <xf numFmtId="166" fontId="1" fillId="0" borderId="26" xfId="1" applyNumberFormat="1" applyBorder="1"/>
    <xf numFmtId="166" fontId="1" fillId="0" borderId="23" xfId="1" applyNumberFormat="1" applyBorder="1"/>
    <xf numFmtId="166" fontId="1" fillId="0" borderId="28" xfId="1" applyNumberFormat="1" applyBorder="1"/>
    <xf numFmtId="166" fontId="11" fillId="2" borderId="1" xfId="1" applyNumberFormat="1" applyFont="1" applyFill="1" applyBorder="1"/>
    <xf numFmtId="0" fontId="19" fillId="2" borderId="12" xfId="2" applyFont="1" applyFill="1" applyBorder="1"/>
    <xf numFmtId="165" fontId="1" fillId="0" borderId="59" xfId="1" applyNumberFormat="1" applyBorder="1"/>
    <xf numFmtId="165" fontId="1" fillId="0" borderId="6" xfId="1" applyNumberFormat="1" applyBorder="1"/>
    <xf numFmtId="0" fontId="1" fillId="0" borderId="7" xfId="1" applyBorder="1"/>
    <xf numFmtId="165" fontId="1" fillId="0" borderId="8" xfId="1" applyNumberFormat="1" applyBorder="1"/>
    <xf numFmtId="0" fontId="1" fillId="0" borderId="9" xfId="1" applyBorder="1"/>
    <xf numFmtId="165" fontId="1" fillId="0" borderId="10" xfId="1" applyNumberFormat="1" applyBorder="1"/>
    <xf numFmtId="165" fontId="1" fillId="0" borderId="5" xfId="1" applyNumberFormat="1" applyBorder="1"/>
    <xf numFmtId="0" fontId="1" fillId="0" borderId="4" xfId="1" applyBorder="1"/>
    <xf numFmtId="165" fontId="1" fillId="0" borderId="0" xfId="1" applyNumberFormat="1"/>
    <xf numFmtId="0" fontId="7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5" xfId="1" applyFont="1" applyBorder="1" applyAlignment="1">
      <alignment horizontal="center"/>
    </xf>
    <xf numFmtId="0" fontId="2" fillId="0" borderId="60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4" fillId="0" borderId="60" xfId="1" applyFont="1" applyBorder="1" applyAlignment="1">
      <alignment horizontal="center"/>
    </xf>
    <xf numFmtId="0" fontId="14" fillId="0" borderId="11" xfId="1" applyFont="1" applyBorder="1" applyAlignment="1">
      <alignment horizontal="center"/>
    </xf>
    <xf numFmtId="0" fontId="14" fillId="0" borderId="2" xfId="1" applyFont="1" applyBorder="1" applyAlignment="1">
      <alignment horizontal="center"/>
    </xf>
    <xf numFmtId="0" fontId="17" fillId="0" borderId="14" xfId="1" applyFont="1" applyBorder="1" applyAlignment="1">
      <alignment horizontal="center"/>
    </xf>
    <xf numFmtId="0" fontId="17" fillId="0" borderId="15" xfId="1" applyFont="1" applyBorder="1" applyAlignment="1">
      <alignment horizontal="center"/>
    </xf>
    <xf numFmtId="0" fontId="17" fillId="0" borderId="16" xfId="1" applyFont="1" applyBorder="1" applyAlignment="1">
      <alignment horizontal="center"/>
    </xf>
    <xf numFmtId="0" fontId="1" fillId="0" borderId="60" xfId="1" applyBorder="1" applyAlignment="1">
      <alignment horizontal="left"/>
    </xf>
    <xf numFmtId="0" fontId="1" fillId="0" borderId="2" xfId="1" applyBorder="1" applyAlignment="1">
      <alignment horizontal="left"/>
    </xf>
    <xf numFmtId="0" fontId="1" fillId="0" borderId="49" xfId="1" applyBorder="1" applyAlignment="1">
      <alignment horizontal="left"/>
    </xf>
    <xf numFmtId="0" fontId="1" fillId="0" borderId="46" xfId="1" applyBorder="1" applyAlignment="1">
      <alignment horizontal="left"/>
    </xf>
    <xf numFmtId="0" fontId="1" fillId="0" borderId="48" xfId="1" applyBorder="1" applyAlignment="1">
      <alignment horizontal="left"/>
    </xf>
    <xf numFmtId="0" fontId="1" fillId="0" borderId="29" xfId="1" applyBorder="1" applyAlignment="1">
      <alignment horizontal="left"/>
    </xf>
    <xf numFmtId="0" fontId="1" fillId="0" borderId="30" xfId="1" applyBorder="1" applyAlignment="1">
      <alignment horizontal="left"/>
    </xf>
    <xf numFmtId="0" fontId="1" fillId="0" borderId="31" xfId="1" applyBorder="1" applyAlignment="1">
      <alignment horizontal="left"/>
    </xf>
    <xf numFmtId="0" fontId="12" fillId="11" borderId="12" xfId="2" applyFill="1" applyBorder="1"/>
    <xf numFmtId="17" fontId="0" fillId="0" borderId="0" xfId="0" applyNumberFormat="1"/>
    <xf numFmtId="4" fontId="0" fillId="0" borderId="0" xfId="0" applyNumberFormat="1"/>
    <xf numFmtId="0" fontId="22" fillId="0" borderId="0" xfId="0" applyFont="1" applyAlignment="1">
      <alignment vertical="center"/>
    </xf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21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2" fontId="0" fillId="0" borderId="0" xfId="0" applyNumberFormat="1"/>
    <xf numFmtId="0" fontId="21" fillId="0" borderId="0" xfId="0" applyFont="1" applyAlignment="1">
      <alignment horizontal="center"/>
    </xf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46"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numFmt numFmtId="4" formatCode="#,##0.00"/>
    </dxf>
    <dxf>
      <numFmt numFmtId="22" formatCode="mmm/yy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3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2">
      <calculatedColumnFormula>C2-_xlfn.FORECAST.ETS.CONFINT(A2,$B$2:$B$17,$A$2:$A$17,0.95,1,1)</calculatedColumnFormula>
    </tableColumn>
    <tableColumn id="5" xr3:uid="{62F58AD9-1FC9-46C8-B4E7-2231918EC1E4}" name="Upper Confidence Bound(Sales)" dataDxfId="1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12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45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44"/>
    <tableColumn id="2" xr3:uid="{D910A9B9-D427-48EA-AB9E-200D7BB66C1E}" name="sepal_length" dataDxfId="43"/>
    <tableColumn id="3" xr3:uid="{039CAD4E-A07E-4F03-9810-EAAE56003B4E}" name="sepal_width" dataDxfId="42"/>
    <tableColumn id="4" xr3:uid="{312E3EBE-2568-4DC8-AE77-AC20D8199BC2}" name="petal_length" dataDxfId="41"/>
    <tableColumn id="5" xr3:uid="{3B818CF0-A6EC-4507-82CE-B4C0F12048CA}" name="petal_width" dataDxfId="40"/>
    <tableColumn id="6" xr3:uid="{9CB5291D-0B1B-49D9-B4D6-537AD2F558ED}" name="species" dataDxfId="39"/>
    <tableColumn id="7" xr3:uid="{BF7FDB39-9FB3-4F09-A7F3-11EB71B3910A}" name="Euclidean_x000a_Distance" dataDxfId="38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7">
      <calculatedColumnFormula>RANK(Table1[[#This Row],[Euclidean
Distance]],Table1[Euclidean
Distance],1)</calculatedColumnFormula>
    </tableColumn>
    <tableColumn id="9" xr3:uid="{BA65F439-C13B-4C8C-909A-06FC767773EA}" name="Manhattan_x000a_Distance" dataDxfId="36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35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34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33"/>
    <tableColumn id="2" xr3:uid="{A75179BD-7A57-4CAB-8BD0-BC07EBD90770}" name="sepal_length" dataDxfId="32"/>
    <tableColumn id="3" xr3:uid="{454D6FF2-D615-4F5D-B99E-C0409BA822D1}" name="sepal_width" dataDxfId="31"/>
    <tableColumn id="4" xr3:uid="{1C52C729-9E7A-4A1E-A720-BA60A2211EE2}" name="petal_length" dataDxfId="30"/>
    <tableColumn id="5" xr3:uid="{F2420024-0AFA-4949-83BD-9A17B7B9A955}" name="petal_width" dataDxfId="29"/>
    <tableColumn id="6" xr3:uid="{4D8A186D-14A0-4FA1-BC1E-C6BDE3530FC7}" name="species" dataDxfId="28"/>
    <tableColumn id="7" xr3:uid="{016AB6AE-A903-4DCC-ACFF-00A7D3E8B0FB}" name="Euclidean_x000a_Distance" dataDxfId="27"/>
    <tableColumn id="8" xr3:uid="{51B3085D-0C53-4B37-AB90-C08C6402F3ED}" name="Rank" dataDxfId="26"/>
    <tableColumn id="9" xr3:uid="{CC0342BF-290F-4B65-83F2-36DE7E759A31}" name="Manhattan_x000a_Distance" dataDxfId="25"/>
    <tableColumn id="10" xr3:uid="{033147C6-EEFE-4D19-8C98-ECC35D33375D}" name="Rank2" dataDxfId="24"/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23" totalsRowDxfId="20" headerRowBorderDxfId="22" tableBorderDxfId="21">
  <tableColumns count="7">
    <tableColumn id="1" xr3:uid="{27E9F5C9-0D3F-46E4-908D-15F1673D4826}" name="Distance" totalsRowLabel="Total" dataDxfId="19"/>
    <tableColumn id="2" xr3:uid="{972BA92F-997F-4E19-B0CF-4328F9D6CB72}" name="BA" dataDxfId="18"/>
    <tableColumn id="3" xr3:uid="{53FBB5C6-08DB-4CA1-90AA-CC856F1075E9}" name="FI" dataDxfId="17"/>
    <tableColumn id="4" xr3:uid="{7C7DEC26-6BB1-45C5-972A-CAE95A8CD19D}" name="MI" dataDxfId="16"/>
    <tableColumn id="5" xr3:uid="{88E30472-FBE0-46BB-9074-9881AD323715}" name="NA" dataDxfId="15"/>
    <tableColumn id="6" xr3:uid="{B80765EA-F69C-4A48-9D3A-1BBE1563A6DE}" name="RM" dataDxfId="14"/>
    <tableColumn id="7" xr3:uid="{BFB6640A-C3E5-427D-8F35-B3D3532CE630}" name="TO" totalsRowFunction="sum" dataDxfId="13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tabSelected="1" workbookViewId="0"/>
  </sheetViews>
  <sheetFormatPr defaultRowHeight="14.4"/>
  <cols>
    <col min="1" max="1" width="11.88671875" customWidth="1"/>
    <col min="2" max="2" width="11" customWidth="1"/>
  </cols>
  <sheetData>
    <row r="1" spans="1:2">
      <c r="A1" s="311" t="s">
        <v>207</v>
      </c>
      <c r="B1" s="311" t="s">
        <v>208</v>
      </c>
    </row>
    <row r="2" spans="1:2">
      <c r="A2" s="302">
        <v>45292</v>
      </c>
      <c r="B2">
        <v>1340</v>
      </c>
    </row>
    <row r="3" spans="1:2">
      <c r="A3" s="302">
        <v>45323</v>
      </c>
      <c r="B3">
        <v>1435</v>
      </c>
    </row>
    <row r="4" spans="1:2">
      <c r="A4" s="302">
        <v>45352</v>
      </c>
      <c r="B4">
        <v>1610</v>
      </c>
    </row>
    <row r="5" spans="1:2">
      <c r="A5" s="302">
        <v>45383</v>
      </c>
      <c r="B5">
        <v>1665</v>
      </c>
    </row>
    <row r="6" spans="1:2">
      <c r="A6" s="302">
        <v>45413</v>
      </c>
      <c r="B6">
        <v>1620</v>
      </c>
    </row>
    <row r="7" spans="1:2">
      <c r="A7" s="302">
        <v>45444</v>
      </c>
      <c r="B7">
        <v>1625</v>
      </c>
    </row>
    <row r="8" spans="1:2">
      <c r="A8" s="302">
        <v>45474</v>
      </c>
      <c r="B8">
        <v>1640</v>
      </c>
    </row>
    <row r="9" spans="1:2">
      <c r="A9" s="302">
        <v>45505</v>
      </c>
      <c r="B9">
        <v>1715</v>
      </c>
    </row>
    <row r="10" spans="1:2">
      <c r="A10" s="302">
        <v>45536</v>
      </c>
      <c r="B10">
        <v>1850</v>
      </c>
    </row>
    <row r="11" spans="1:2">
      <c r="A11" s="302">
        <v>45566</v>
      </c>
      <c r="B11">
        <v>1865</v>
      </c>
    </row>
    <row r="12" spans="1:2">
      <c r="A12" s="302">
        <v>45597</v>
      </c>
      <c r="B12">
        <v>1810</v>
      </c>
    </row>
    <row r="13" spans="1:2">
      <c r="A13" s="302">
        <v>45627</v>
      </c>
      <c r="B13">
        <v>1905</v>
      </c>
    </row>
    <row r="14" spans="1:2">
      <c r="A14" s="302">
        <v>45658</v>
      </c>
      <c r="B14">
        <v>1450</v>
      </c>
    </row>
    <row r="15" spans="1:2">
      <c r="A15" s="302">
        <v>45689</v>
      </c>
      <c r="B15">
        <v>1540</v>
      </c>
    </row>
    <row r="16" spans="1:2">
      <c r="A16" s="302">
        <v>45717</v>
      </c>
      <c r="B16">
        <v>1735</v>
      </c>
    </row>
    <row r="17" spans="1:2">
      <c r="A17" s="302">
        <v>45748</v>
      </c>
      <c r="B17">
        <v>1790</v>
      </c>
    </row>
    <row r="18" spans="1:2">
      <c r="A18" s="302">
        <v>45778</v>
      </c>
    </row>
    <row r="19" spans="1:2">
      <c r="A19" s="302">
        <v>45809</v>
      </c>
    </row>
    <row r="20" spans="1:2">
      <c r="A20" s="302">
        <v>45839</v>
      </c>
    </row>
    <row r="21" spans="1:2">
      <c r="A21" s="302">
        <v>45870</v>
      </c>
    </row>
    <row r="22" spans="1:2">
      <c r="A22" s="302">
        <v>45901</v>
      </c>
    </row>
    <row r="23" spans="1:2">
      <c r="A23" s="302">
        <v>45931</v>
      </c>
    </row>
    <row r="24" spans="1:2">
      <c r="A24" s="302">
        <v>45962</v>
      </c>
    </row>
    <row r="25" spans="1:2">
      <c r="A25" s="30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302">
        <v>45292</v>
      </c>
      <c r="B2">
        <v>1340</v>
      </c>
      <c r="G2" t="s">
        <v>213</v>
      </c>
      <c r="H2" s="303">
        <f>_xlfn.FORECAST.ETS.STAT($B$2:$B$17,$A$2:$A$17,1,1,1)</f>
        <v>0.25</v>
      </c>
    </row>
    <row r="3" spans="1:8">
      <c r="A3" s="302">
        <v>45323</v>
      </c>
      <c r="B3">
        <v>1435</v>
      </c>
      <c r="G3" t="s">
        <v>214</v>
      </c>
      <c r="H3" s="303">
        <f>_xlfn.FORECAST.ETS.STAT($B$2:$B$17,$A$2:$A$17,2,1,1)</f>
        <v>1E-3</v>
      </c>
    </row>
    <row r="4" spans="1:8">
      <c r="A4" s="302">
        <v>45352</v>
      </c>
      <c r="B4">
        <v>1610</v>
      </c>
      <c r="G4" t="s">
        <v>215</v>
      </c>
      <c r="H4" s="303">
        <f>_xlfn.FORECAST.ETS.STAT($B$2:$B$17,$A$2:$A$17,3,1,1)</f>
        <v>2.2204460492503131E-16</v>
      </c>
    </row>
    <row r="5" spans="1:8">
      <c r="A5" s="302">
        <v>45383</v>
      </c>
      <c r="B5">
        <v>1665</v>
      </c>
      <c r="G5" t="s">
        <v>216</v>
      </c>
      <c r="H5" s="303">
        <f>_xlfn.FORECAST.ETS.STAT($B$2:$B$17,$A$2:$A$17,4,1,1)</f>
        <v>1.9497085561272305</v>
      </c>
    </row>
    <row r="6" spans="1:8">
      <c r="A6" s="302">
        <v>45413</v>
      </c>
      <c r="B6">
        <v>1620</v>
      </c>
      <c r="G6" t="s">
        <v>217</v>
      </c>
      <c r="H6" s="303">
        <f>_xlfn.FORECAST.ETS.STAT($B$2:$B$17,$A$2:$A$17,5,1,1)</f>
        <v>7.9061900774040336E-2</v>
      </c>
    </row>
    <row r="7" spans="1:8">
      <c r="A7" s="302">
        <v>45444</v>
      </c>
      <c r="B7">
        <v>1625</v>
      </c>
      <c r="G7" t="s">
        <v>218</v>
      </c>
      <c r="H7" s="303">
        <f>_xlfn.FORECAST.ETS.STAT($B$2:$B$17,$A$2:$A$17,6,1,1)</f>
        <v>133.23008466869408</v>
      </c>
    </row>
    <row r="8" spans="1:8">
      <c r="A8" s="302">
        <v>45474</v>
      </c>
      <c r="B8">
        <v>1640</v>
      </c>
      <c r="G8" t="s">
        <v>219</v>
      </c>
      <c r="H8" s="303">
        <f>_xlfn.FORECAST.ETS.STAT($B$2:$B$17,$A$2:$A$17,7,1,1)</f>
        <v>193.65383031527566</v>
      </c>
    </row>
    <row r="9" spans="1:8">
      <c r="A9" s="302">
        <v>45505</v>
      </c>
      <c r="B9">
        <v>1715</v>
      </c>
    </row>
    <row r="10" spans="1:8">
      <c r="A10" s="302">
        <v>45536</v>
      </c>
      <c r="B10">
        <v>1850</v>
      </c>
    </row>
    <row r="11" spans="1:8">
      <c r="A11" s="302">
        <v>45566</v>
      </c>
      <c r="B11">
        <v>1865</v>
      </c>
    </row>
    <row r="12" spans="1:8">
      <c r="A12" s="302">
        <v>45597</v>
      </c>
      <c r="B12">
        <v>1810</v>
      </c>
    </row>
    <row r="13" spans="1:8">
      <c r="A13" s="302">
        <v>45627</v>
      </c>
      <c r="B13">
        <v>1905</v>
      </c>
    </row>
    <row r="14" spans="1:8">
      <c r="A14" s="302">
        <v>45658</v>
      </c>
      <c r="B14">
        <v>1450</v>
      </c>
    </row>
    <row r="15" spans="1:8">
      <c r="A15" s="302">
        <v>45689</v>
      </c>
      <c r="B15">
        <v>1540</v>
      </c>
    </row>
    <row r="16" spans="1:8">
      <c r="A16" s="302">
        <v>45717</v>
      </c>
      <c r="B16">
        <v>1735</v>
      </c>
    </row>
    <row r="17" spans="1:5">
      <c r="A17" s="302">
        <v>45748</v>
      </c>
      <c r="B17">
        <v>1790</v>
      </c>
      <c r="C17">
        <v>1790</v>
      </c>
      <c r="D17" s="310">
        <v>1790</v>
      </c>
      <c r="E17" s="310">
        <v>1790</v>
      </c>
    </row>
    <row r="18" spans="1:5">
      <c r="A18" s="302">
        <v>45778</v>
      </c>
      <c r="C18">
        <f>_xlfn.FORECAST.ETS(A18,$B$2:$B$17,$A$2:$A$17,1,1)</f>
        <v>1776.656176214482</v>
      </c>
      <c r="D18" s="310">
        <f>C18-_xlfn.FORECAST.ETS.CONFINT(A18,$B$2:$B$17,$A$2:$A$17,0.95,1,1)</f>
        <v>1472.0054534267915</v>
      </c>
      <c r="E18" s="310">
        <f>C18+_xlfn.FORECAST.ETS.CONFINT(A18,$B$2:$B$17,$A$2:$A$17,0.95,1,1)</f>
        <v>2081.3068990021725</v>
      </c>
    </row>
    <row r="19" spans="1:5">
      <c r="A19" s="302">
        <v>45809</v>
      </c>
      <c r="C19">
        <f>_xlfn.FORECAST.ETS(A19,$B$2:$B$17,$A$2:$A$17,1,1)</f>
        <v>1794.4318639930925</v>
      </c>
      <c r="D19" s="310">
        <f>C19-_xlfn.FORECAST.ETS.CONFINT(A19,$B$2:$B$17,$A$2:$A$17,0.95,1,1)</f>
        <v>1480.331059044245</v>
      </c>
      <c r="E19" s="310">
        <f>C19+_xlfn.FORECAST.ETS.CONFINT(A19,$B$2:$B$17,$A$2:$A$17,0.95,1,1)</f>
        <v>2108.5326689419398</v>
      </c>
    </row>
    <row r="20" spans="1:5">
      <c r="A20" s="302">
        <v>45839</v>
      </c>
      <c r="C20">
        <f>_xlfn.FORECAST.ETS(A20,$B$2:$B$17,$A$2:$A$17,1,1)</f>
        <v>1812.2075517717033</v>
      </c>
      <c r="D20" s="310">
        <f>C20-_xlfn.FORECAST.ETS.CONFINT(A20,$B$2:$B$17,$A$2:$A$17,0.95,1,1)</f>
        <v>1488.8605973843114</v>
      </c>
      <c r="E20" s="310">
        <f>C20+_xlfn.FORECAST.ETS.CONFINT(A20,$B$2:$B$17,$A$2:$A$17,0.95,1,1)</f>
        <v>2135.5545061590951</v>
      </c>
    </row>
    <row r="21" spans="1:5">
      <c r="A21" s="302">
        <v>45870</v>
      </c>
      <c r="C21">
        <f>_xlfn.FORECAST.ETS(A21,$B$2:$B$17,$A$2:$A$17,1,1)</f>
        <v>1829.9832395503138</v>
      </c>
      <c r="D21" s="310">
        <f>C21-_xlfn.FORECAST.ETS.CONFINT(A21,$B$2:$B$17,$A$2:$A$17,0.95,1,1)</f>
        <v>1497.5767711333287</v>
      </c>
      <c r="E21" s="310">
        <f>C21+_xlfn.FORECAST.ETS.CONFINT(A21,$B$2:$B$17,$A$2:$A$17,0.95,1,1)</f>
        <v>2162.3897079672988</v>
      </c>
    </row>
    <row r="22" spans="1:5">
      <c r="A22" s="302">
        <v>45901</v>
      </c>
      <c r="C22">
        <f>_xlfn.FORECAST.ETS(A22,$B$2:$B$17,$A$2:$A$17,1,1)</f>
        <v>1847.7589273289245</v>
      </c>
      <c r="D22" s="310">
        <f>C22-_xlfn.FORECAST.ETS.CONFINT(A22,$B$2:$B$17,$A$2:$A$17,0.95,1,1)</f>
        <v>1506.4644455464177</v>
      </c>
      <c r="E22" s="310">
        <f>C22+_xlfn.FORECAST.ETS.CONFINT(A22,$B$2:$B$17,$A$2:$A$17,0.95,1,1)</f>
        <v>2189.0534091114314</v>
      </c>
    </row>
    <row r="23" spans="1:5">
      <c r="A23" s="302">
        <v>45931</v>
      </c>
      <c r="C23">
        <f>_xlfn.FORECAST.ETS(A23,$B$2:$B$17,$A$2:$A$17,1,1)</f>
        <v>1865.5346151075353</v>
      </c>
      <c r="D23" s="310">
        <f>C23-_xlfn.FORECAST.ETS.CONFINT(A23,$B$2:$B$17,$A$2:$A$17,0.95,1,1)</f>
        <v>1515.5102906885868</v>
      </c>
      <c r="E23" s="310">
        <f>C23+_xlfn.FORECAST.ETS.CONFINT(A23,$B$2:$B$17,$A$2:$A$17,0.95,1,1)</f>
        <v>2215.5589395264838</v>
      </c>
    </row>
    <row r="24" spans="1:5">
      <c r="A24" s="302">
        <v>45962</v>
      </c>
      <c r="C24">
        <f>_xlfn.FORECAST.ETS(A24,$B$2:$B$17,$A$2:$A$17,1,1)</f>
        <v>1883.3103028861458</v>
      </c>
      <c r="D24" s="310">
        <f>C24-_xlfn.FORECAST.ETS.CONFINT(A24,$B$2:$B$17,$A$2:$A$17,0.95,1,1)</f>
        <v>1524.7024961685115</v>
      </c>
      <c r="E24" s="310">
        <f>C24+_xlfn.FORECAST.ETS.CONFINT(A24,$B$2:$B$17,$A$2:$A$17,0.95,1,1)</f>
        <v>2241.9181096037801</v>
      </c>
    </row>
    <row r="25" spans="1:5">
      <c r="A25" s="302">
        <v>45992</v>
      </c>
      <c r="C25">
        <f>_xlfn.FORECAST.ETS(A25,$B$2:$B$17,$A$2:$A$17,1,1)</f>
        <v>1901.0859906647565</v>
      </c>
      <c r="D25" s="310">
        <f>C25-_xlfn.FORECAST.ETS.CONFINT(A25,$B$2:$B$17,$A$2:$A$17,0.95,1,1)</f>
        <v>1534.0305412010712</v>
      </c>
      <c r="E25" s="310">
        <f>C25+_xlfn.FORECAST.ETS.CONFINT(A25,$B$2:$B$17,$A$2:$A$17,0.95,1,1)</f>
        <v>2268.1414401284419</v>
      </c>
    </row>
    <row r="26" spans="1:5">
      <c r="A26" s="302">
        <v>46022</v>
      </c>
      <c r="C26">
        <f>_xlfn.FORECAST.ETS(A26,$B$2:$B$17,$A$2:$A$17,1,1)</f>
        <v>1918.288269160186</v>
      </c>
      <c r="D26" s="310">
        <f>C26-_xlfn.FORECAST.ETS.CONFINT(A26,$B$2:$B$17,$A$2:$A$17,0.95,1,1)</f>
        <v>1543.1771433868537</v>
      </c>
      <c r="E26" s="310">
        <f>C26+_xlfn.FORECAST.ETS.CONFINT(A26,$B$2:$B$17,$A$2:$A$17,0.95,1,1)</f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302">
        <v>45292</v>
      </c>
      <c r="B2">
        <v>1340</v>
      </c>
      <c r="G2" t="s">
        <v>213</v>
      </c>
      <c r="H2" s="303">
        <f>_xlfn.FORECAST.ETS.STAT($B$2:$B$17,$A$2:$A$17,1,1,1)</f>
        <v>0.25</v>
      </c>
    </row>
    <row r="3" spans="1:8">
      <c r="A3" s="302">
        <v>45323</v>
      </c>
      <c r="B3">
        <v>1435</v>
      </c>
      <c r="G3" t="s">
        <v>214</v>
      </c>
      <c r="H3" s="303">
        <f>_xlfn.FORECAST.ETS.STAT($B$2:$B$17,$A$2:$A$17,2,1,1)</f>
        <v>1E-3</v>
      </c>
    </row>
    <row r="4" spans="1:8">
      <c r="A4" s="302">
        <v>45352</v>
      </c>
      <c r="B4">
        <v>1610</v>
      </c>
      <c r="G4" t="s">
        <v>215</v>
      </c>
      <c r="H4" s="303">
        <f>_xlfn.FORECAST.ETS.STAT($B$2:$B$17,$A$2:$A$17,3,1,1)</f>
        <v>2.2204460492503131E-16</v>
      </c>
    </row>
    <row r="5" spans="1:8">
      <c r="A5" s="302">
        <v>45383</v>
      </c>
      <c r="B5">
        <v>1665</v>
      </c>
      <c r="G5" t="s">
        <v>216</v>
      </c>
      <c r="H5" s="303">
        <f>_xlfn.FORECAST.ETS.STAT($B$2:$B$17,$A$2:$A$17,4,1,1)</f>
        <v>1.9497085561272305</v>
      </c>
    </row>
    <row r="6" spans="1:8">
      <c r="A6" s="302">
        <v>45413</v>
      </c>
      <c r="B6">
        <v>1620</v>
      </c>
      <c r="G6" t="s">
        <v>217</v>
      </c>
      <c r="H6" s="303">
        <f>_xlfn.FORECAST.ETS.STAT($B$2:$B$17,$A$2:$A$17,5,1,1)</f>
        <v>7.9061900774040336E-2</v>
      </c>
    </row>
    <row r="7" spans="1:8">
      <c r="A7" s="302">
        <v>45444</v>
      </c>
      <c r="B7">
        <v>1625</v>
      </c>
      <c r="G7" t="s">
        <v>218</v>
      </c>
      <c r="H7" s="303">
        <f>_xlfn.FORECAST.ETS.STAT($B$2:$B$17,$A$2:$A$17,6,1,1)</f>
        <v>133.23008466869408</v>
      </c>
    </row>
    <row r="8" spans="1:8">
      <c r="A8" s="302">
        <v>45474</v>
      </c>
      <c r="B8">
        <v>1640</v>
      </c>
      <c r="G8" t="s">
        <v>219</v>
      </c>
      <c r="H8" s="303">
        <f>_xlfn.FORECAST.ETS.STAT($B$2:$B$17,$A$2:$A$17,7,1,1)</f>
        <v>193.65383031527566</v>
      </c>
    </row>
    <row r="9" spans="1:8">
      <c r="A9" s="302">
        <v>45505</v>
      </c>
      <c r="B9">
        <v>1715</v>
      </c>
    </row>
    <row r="10" spans="1:8">
      <c r="A10" s="302">
        <v>45536</v>
      </c>
      <c r="B10">
        <v>1850</v>
      </c>
    </row>
    <row r="11" spans="1:8">
      <c r="A11" s="302">
        <v>45566</v>
      </c>
      <c r="B11">
        <v>1865</v>
      </c>
    </row>
    <row r="12" spans="1:8">
      <c r="A12" s="302">
        <v>45597</v>
      </c>
      <c r="B12">
        <v>1810</v>
      </c>
    </row>
    <row r="13" spans="1:8">
      <c r="A13" s="302">
        <v>45627</v>
      </c>
      <c r="B13">
        <v>1905</v>
      </c>
    </row>
    <row r="14" spans="1:8">
      <c r="A14" s="302">
        <v>45658</v>
      </c>
      <c r="B14">
        <v>1450</v>
      </c>
    </row>
    <row r="15" spans="1:8">
      <c r="A15" s="302">
        <v>45689</v>
      </c>
      <c r="B15">
        <v>1540</v>
      </c>
    </row>
    <row r="16" spans="1:8">
      <c r="A16" s="302">
        <v>45717</v>
      </c>
      <c r="B16">
        <v>1735</v>
      </c>
    </row>
    <row r="17" spans="1:15">
      <c r="A17" s="302">
        <v>45748</v>
      </c>
      <c r="B17">
        <v>1790</v>
      </c>
    </row>
    <row r="18" spans="1:15">
      <c r="A18" s="302">
        <v>45778</v>
      </c>
      <c r="C18">
        <f>_xlfn.FORECAST.ETS(A18,$B$2:$B$17,$A$2:$A$17,1,1)</f>
        <v>1776.656176214482</v>
      </c>
      <c r="D18">
        <f>_xlfn.FORECAST.ETS.CONFINT(A18,$B$2:$B$17,$A$2:$A$17,0.95,1,1)</f>
        <v>304.65072278769037</v>
      </c>
    </row>
    <row r="19" spans="1:15">
      <c r="A19" s="302">
        <v>45809</v>
      </c>
      <c r="C19">
        <f>_xlfn.FORECAST.ETS(A19,$B$2:$B$17,$A$2:$A$17,1,1)</f>
        <v>1794.4318639930925</v>
      </c>
      <c r="D19">
        <f>_xlfn.FORECAST.ETS.CONFINT(A19,$B$2:$B$17,$A$2:$A$17,0.95,1,1)</f>
        <v>314.1008049488475</v>
      </c>
    </row>
    <row r="20" spans="1:15">
      <c r="A20" s="302">
        <v>45839</v>
      </c>
      <c r="C20">
        <f>_xlfn.FORECAST.ETS(A20,$B$2:$B$17,$A$2:$A$17,1,1)</f>
        <v>1812.2075517717033</v>
      </c>
      <c r="D20">
        <f>_xlfn.FORECAST.ETS.CONFINT(A20,$B$2:$B$17,$A$2:$A$17,0.95,1,1)</f>
        <v>323.34695438739175</v>
      </c>
    </row>
    <row r="21" spans="1:15">
      <c r="A21" s="302">
        <v>45870</v>
      </c>
      <c r="C21">
        <f>_xlfn.FORECAST.ETS(A21,$B$2:$B$17,$A$2:$A$17,1,1)</f>
        <v>1829.9832395503138</v>
      </c>
      <c r="D21">
        <f>_xlfn.FORECAST.ETS.CONFINT(A21,$B$2:$B$17,$A$2:$A$17,0.95,1,1)</f>
        <v>332.40646841698498</v>
      </c>
    </row>
    <row r="22" spans="1:15">
      <c r="A22" s="302">
        <v>45901</v>
      </c>
      <c r="C22">
        <f>_xlfn.FORECAST.ETS(A22,$B$2:$B$17,$A$2:$A$17,1,1)</f>
        <v>1847.7589273289245</v>
      </c>
      <c r="D22">
        <f>_xlfn.FORECAST.ETS.CONFINT(A22,$B$2:$B$17,$A$2:$A$17,0.95,1,1)</f>
        <v>341.29448178250681</v>
      </c>
    </row>
    <row r="23" spans="1:15">
      <c r="A23" s="302">
        <v>45931</v>
      </c>
      <c r="C23">
        <f>_xlfn.FORECAST.ETS(A23,$B$2:$B$17,$A$2:$A$17,1,1)</f>
        <v>1865.5346151075353</v>
      </c>
      <c r="D23">
        <f>_xlfn.FORECAST.ETS.CONFINT(A23,$B$2:$B$17,$A$2:$A$17,0.95,1,1)</f>
        <v>350.02432441894848</v>
      </c>
    </row>
    <row r="24" spans="1:15">
      <c r="A24" s="302">
        <v>45962</v>
      </c>
      <c r="C24">
        <f>_xlfn.FORECAST.ETS(A24,$B$2:$B$17,$A$2:$A$17,1,1)</f>
        <v>1883.3103028861458</v>
      </c>
      <c r="D24">
        <f>_xlfn.FORECAST.ETS.CONFINT(A24,$B$2:$B$17,$A$2:$A$17,0.95,1,1)</f>
        <v>358.60780671763422</v>
      </c>
    </row>
    <row r="25" spans="1:15">
      <c r="A25" s="302">
        <v>45992</v>
      </c>
      <c r="C25">
        <f>_xlfn.FORECAST.ETS(A25,$B$2:$B$17,$A$2:$A$17,1,1)</f>
        <v>1901.0859906647565</v>
      </c>
      <c r="D25">
        <f>_xlfn.FORECAST.ETS.CONFINT(A25,$B$2:$B$17,$A$2:$A$17,0.95,1,1)</f>
        <v>367.05544946368531</v>
      </c>
    </row>
    <row r="26" spans="1:15">
      <c r="A26" s="302">
        <v>46022</v>
      </c>
      <c r="C26">
        <f>_xlfn.FORECAST.ETS(A26,$B$2:$B$17,$A$2:$A$17,1,1)</f>
        <v>1918.288269160186</v>
      </c>
      <c r="D26">
        <f>_xlfn.FORECAST.ETS.CONFINT(A26,$B$2:$B$17,$A$2:$A$17,0.95,1,1)</f>
        <v>375.11112577333228</v>
      </c>
    </row>
    <row r="30" spans="1:15" ht="14.4" customHeight="1">
      <c r="B30" s="306" t="s">
        <v>220</v>
      </c>
      <c r="C30" s="306"/>
      <c r="D30" s="306"/>
      <c r="E30" s="306"/>
      <c r="F30" s="306"/>
      <c r="G30" s="306"/>
      <c r="H30" s="306"/>
      <c r="I30" s="306"/>
      <c r="J30" s="306"/>
      <c r="K30" s="306"/>
      <c r="L30" s="306"/>
      <c r="M30" s="307"/>
      <c r="N30" s="307"/>
      <c r="O30" s="307"/>
    </row>
    <row r="31" spans="1:15">
      <c r="B31" s="306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7"/>
      <c r="N31" s="307"/>
      <c r="O31" s="307"/>
    </row>
    <row r="33" spans="2:12" ht="18">
      <c r="B33" s="304" t="s">
        <v>221</v>
      </c>
    </row>
    <row r="34" spans="2:12">
      <c r="B34" s="308" t="s">
        <v>222</v>
      </c>
      <c r="C34" s="308"/>
      <c r="D34" s="308"/>
      <c r="E34" s="308"/>
      <c r="F34" s="308"/>
      <c r="G34" s="308"/>
      <c r="H34" s="308"/>
      <c r="I34" s="308"/>
      <c r="J34" s="308"/>
      <c r="K34" s="308"/>
    </row>
    <row r="35" spans="2:12">
      <c r="C35" s="305"/>
      <c r="D35" s="305"/>
      <c r="E35" s="305"/>
      <c r="F35" s="305"/>
      <c r="G35" s="305"/>
      <c r="H35" s="305"/>
      <c r="I35" s="305"/>
      <c r="J35" s="305"/>
      <c r="K35" s="305"/>
      <c r="L35" s="305"/>
    </row>
    <row r="36" spans="2:12">
      <c r="B36" s="309" t="s">
        <v>223</v>
      </c>
      <c r="C36" s="309"/>
      <c r="D36" s="309"/>
      <c r="E36" s="309"/>
      <c r="F36" s="309"/>
      <c r="G36" s="309"/>
      <c r="H36" s="309"/>
      <c r="I36" s="309"/>
      <c r="J36" s="309"/>
      <c r="K36" s="309"/>
      <c r="L36" s="309"/>
    </row>
    <row r="37" spans="2:12">
      <c r="B37" s="309"/>
      <c r="C37" s="309"/>
      <c r="D37" s="309"/>
      <c r="E37" s="309"/>
      <c r="F37" s="309"/>
      <c r="G37" s="309"/>
      <c r="H37" s="309"/>
      <c r="I37" s="309"/>
      <c r="J37" s="309"/>
      <c r="K37" s="309"/>
      <c r="L37" s="309"/>
    </row>
    <row r="39" spans="2:12">
      <c r="B39" s="309" t="s">
        <v>224</v>
      </c>
      <c r="C39" s="309"/>
      <c r="D39" s="309"/>
      <c r="E39" s="309"/>
      <c r="F39" s="309"/>
      <c r="G39" s="309"/>
      <c r="H39" s="309"/>
      <c r="I39" s="309"/>
      <c r="J39" s="309"/>
      <c r="K39" s="309"/>
    </row>
    <row r="40" spans="2:12">
      <c r="B40" s="309"/>
      <c r="C40" s="309"/>
      <c r="D40" s="309"/>
      <c r="E40" s="309"/>
      <c r="F40" s="309"/>
      <c r="G40" s="309"/>
      <c r="H40" s="309"/>
      <c r="I40" s="309"/>
      <c r="J40" s="309"/>
      <c r="K40" s="309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30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30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30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zoomScale="115" zoomScaleNormal="115" workbookViewId="0"/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/>
      <c r="F4" s="245"/>
      <c r="G4" s="245"/>
    </row>
    <row r="5" spans="1:7">
      <c r="B5" s="244" t="s">
        <v>55</v>
      </c>
      <c r="C5" s="244">
        <v>2</v>
      </c>
      <c r="D5" s="244">
        <v>86</v>
      </c>
      <c r="E5" s="245"/>
      <c r="F5" s="245"/>
      <c r="G5" s="245"/>
    </row>
    <row r="6" spans="1:7">
      <c r="B6" s="244" t="s">
        <v>159</v>
      </c>
      <c r="C6" s="244">
        <v>15</v>
      </c>
      <c r="D6" s="244">
        <v>43</v>
      </c>
      <c r="E6" s="245"/>
      <c r="F6" s="245"/>
      <c r="G6" s="245"/>
    </row>
    <row r="7" spans="1:7">
      <c r="B7" s="244" t="s">
        <v>161</v>
      </c>
      <c r="C7" s="244">
        <v>9</v>
      </c>
      <c r="D7" s="244">
        <v>74</v>
      </c>
      <c r="E7" s="245"/>
      <c r="F7" s="245"/>
      <c r="G7" s="245"/>
    </row>
    <row r="8" spans="1:7">
      <c r="B8" s="244" t="s">
        <v>163</v>
      </c>
      <c r="C8" s="244">
        <v>12</v>
      </c>
      <c r="D8" s="244">
        <v>58</v>
      </c>
      <c r="E8" s="245"/>
      <c r="F8" s="245"/>
      <c r="G8" s="245"/>
    </row>
    <row r="9" spans="1:7">
      <c r="B9" s="244" t="s">
        <v>171</v>
      </c>
      <c r="C9" s="244">
        <v>5</v>
      </c>
      <c r="D9" s="244">
        <v>90</v>
      </c>
      <c r="E9" s="245"/>
      <c r="F9" s="245"/>
      <c r="G9" s="245"/>
    </row>
    <row r="10" spans="1:7">
      <c r="B10" s="244" t="s">
        <v>187</v>
      </c>
      <c r="C10" s="244">
        <v>8</v>
      </c>
      <c r="D10" s="244">
        <v>78</v>
      </c>
      <c r="E10" s="245"/>
      <c r="F10" s="245"/>
      <c r="G10" s="245"/>
    </row>
    <row r="13" spans="1:7">
      <c r="A13" s="246" t="s">
        <v>188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E14" s="244" t="s">
        <v>190</v>
      </c>
      <c r="F14" s="244">
        <v>10</v>
      </c>
      <c r="G14" s="245"/>
    </row>
    <row r="15" spans="1:7">
      <c r="A15" s="246" t="s">
        <v>189</v>
      </c>
      <c r="E15" s="244" t="s">
        <v>191</v>
      </c>
      <c r="F15" s="244">
        <v>11</v>
      </c>
      <c r="G15" s="245"/>
    </row>
    <row r="16" spans="1:7">
      <c r="A16" s="246" t="s">
        <v>189</v>
      </c>
      <c r="E16" s="244" t="s">
        <v>192</v>
      </c>
      <c r="F16" s="244">
        <v>13</v>
      </c>
      <c r="G16" s="245"/>
    </row>
    <row r="17" spans="1:3">
      <c r="A17" s="246" t="s">
        <v>193</v>
      </c>
      <c r="C17" s="56" t="s">
        <v>194</v>
      </c>
    </row>
    <row r="18" spans="1:3">
      <c r="A18" s="246" t="s">
        <v>195</v>
      </c>
      <c r="C18" s="56" t="s">
        <v>196</v>
      </c>
    </row>
    <row r="19" spans="1:3">
      <c r="A19" s="246" t="s">
        <v>193</v>
      </c>
      <c r="C19" s="56" t="s">
        <v>194</v>
      </c>
    </row>
    <row r="20" spans="1:3">
      <c r="A20" s="246" t="s">
        <v>195</v>
      </c>
      <c r="C20" s="56" t="s">
        <v>196</v>
      </c>
    </row>
    <row r="21" spans="1:3">
      <c r="A21" s="246" t="s">
        <v>197</v>
      </c>
      <c r="C21" s="247">
        <f>B21</f>
        <v>0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G12"/>
  <sheetViews>
    <sheetView workbookViewId="0"/>
  </sheetViews>
  <sheetFormatPr defaultRowHeight="13.8"/>
  <cols>
    <col min="1" max="16384" width="8.88671875" style="56"/>
  </cols>
  <sheetData>
    <row r="1" spans="2:7" ht="14.4" thickBot="1"/>
    <row r="2" spans="2:7" ht="14.4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</row>
    <row r="3" spans="2:7">
      <c r="B3" s="225" t="s">
        <v>51</v>
      </c>
      <c r="C3" s="226">
        <v>3.2</v>
      </c>
      <c r="D3" s="181">
        <v>22</v>
      </c>
      <c r="E3" s="227">
        <v>550</v>
      </c>
      <c r="F3" s="227"/>
      <c r="G3" s="227"/>
    </row>
    <row r="4" spans="2:7">
      <c r="B4" s="228" t="s">
        <v>55</v>
      </c>
      <c r="C4" s="229">
        <v>2.7</v>
      </c>
      <c r="D4" s="182">
        <v>27</v>
      </c>
      <c r="E4" s="230">
        <v>570</v>
      </c>
      <c r="F4" s="230"/>
      <c r="G4" s="230"/>
    </row>
    <row r="5" spans="2:7">
      <c r="B5" s="228" t="s">
        <v>159</v>
      </c>
      <c r="C5" s="229">
        <v>2.5</v>
      </c>
      <c r="D5" s="182">
        <v>24</v>
      </c>
      <c r="E5" s="230">
        <v>525</v>
      </c>
      <c r="F5" s="230"/>
      <c r="G5" s="230"/>
    </row>
    <row r="6" spans="2:7">
      <c r="B6" s="228" t="s">
        <v>161</v>
      </c>
      <c r="C6" s="229">
        <v>3.4</v>
      </c>
      <c r="D6" s="182">
        <v>28</v>
      </c>
      <c r="E6" s="230">
        <v>670</v>
      </c>
      <c r="F6" s="230"/>
      <c r="G6" s="230"/>
    </row>
    <row r="7" spans="2:7" ht="14.4" thickBot="1">
      <c r="B7" s="232" t="s">
        <v>163</v>
      </c>
      <c r="C7" s="233">
        <v>2.2000000000000002</v>
      </c>
      <c r="D7" s="183">
        <v>23</v>
      </c>
      <c r="E7" s="234">
        <v>490</v>
      </c>
      <c r="F7" s="234"/>
      <c r="G7" s="234"/>
    </row>
    <row r="8" spans="2:7" ht="14.4" thickBot="1">
      <c r="G8" s="235"/>
    </row>
    <row r="9" spans="2:7" ht="14.4" thickBot="1"/>
    <row r="10" spans="2:7" ht="14.4" thickBot="1">
      <c r="B10" s="237" t="s">
        <v>152</v>
      </c>
      <c r="C10" s="224" t="s">
        <v>153</v>
      </c>
      <c r="D10" s="222" t="s">
        <v>155</v>
      </c>
    </row>
    <row r="11" spans="2:7">
      <c r="B11" s="238">
        <v>3</v>
      </c>
      <c r="C11" s="181">
        <v>25</v>
      </c>
      <c r="D11" s="227"/>
    </row>
    <row r="12" spans="2:7" ht="14.4" thickBot="1">
      <c r="B12" s="239">
        <v>2.6</v>
      </c>
      <c r="C12" s="183">
        <v>26</v>
      </c>
      <c r="D12" s="234"/>
      <c r="G12" s="2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zoomScale="85" zoomScaleNormal="85" workbookViewId="0"/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81" t="s">
        <v>63</v>
      </c>
      <c r="I61" s="281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10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282" t="s">
        <v>76</v>
      </c>
      <c r="K1" s="282"/>
      <c r="L1" s="282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9" priority="2" bottom="1" rank="5"/>
  </conditionalFormatting>
  <conditionalFormatting sqref="H2:H16">
    <cfRule type="top10" dxfId="8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282" t="s">
        <v>76</v>
      </c>
      <c r="K1" s="282"/>
      <c r="L1" s="282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/>
      <c r="F2" s="47"/>
      <c r="G2" s="43"/>
      <c r="H2" s="45"/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/>
      <c r="F3" s="54"/>
      <c r="G3" s="50"/>
      <c r="H3" s="52"/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/>
      <c r="F4" s="54"/>
      <c r="G4" s="50"/>
      <c r="H4" s="52"/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/>
      <c r="F5" s="54"/>
      <c r="G5" s="50"/>
      <c r="H5" s="52"/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/>
      <c r="F6" s="54"/>
      <c r="G6" s="50"/>
      <c r="H6" s="52"/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/>
      <c r="F7" s="54"/>
      <c r="G7" s="50"/>
      <c r="H7" s="52"/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/>
      <c r="F8" s="54"/>
      <c r="G8" s="50"/>
      <c r="H8" s="52"/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/>
      <c r="F9" s="54"/>
      <c r="G9" s="50"/>
      <c r="H9" s="52"/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/>
      <c r="F10" s="54"/>
      <c r="G10" s="50"/>
      <c r="H10" s="52"/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/>
      <c r="F11" s="54"/>
      <c r="G11" s="50"/>
      <c r="H11" s="52"/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/>
      <c r="F12" s="54"/>
      <c r="G12" s="50"/>
      <c r="H12" s="52"/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/>
      <c r="F13" s="54"/>
      <c r="G13" s="50"/>
      <c r="H13" s="52"/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/>
      <c r="F14" s="54"/>
      <c r="G14" s="50"/>
      <c r="H14" s="52"/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/>
      <c r="F15" s="54"/>
      <c r="G15" s="50"/>
      <c r="H15" s="52"/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/>
      <c r="F16" s="62"/>
      <c r="G16" s="58"/>
      <c r="H16" s="60"/>
    </row>
  </sheetData>
  <mergeCells count="1">
    <mergeCell ref="J1:L1"/>
  </mergeCells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283" t="s">
        <v>76</v>
      </c>
      <c r="M2" s="283"/>
      <c r="N2" s="283"/>
      <c r="O2" s="283"/>
      <c r="P2" s="283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7" priority="4" bottom="1" rank="5"/>
  </conditionalFormatting>
  <conditionalFormatting sqref="H2:H151">
    <cfRule type="top10" dxfId="6" priority="3" bottom="1" rank="5"/>
  </conditionalFormatting>
  <conditionalFormatting sqref="I2:I151">
    <cfRule type="top10" dxfId="5" priority="2" bottom="1" rank="5"/>
  </conditionalFormatting>
  <conditionalFormatting sqref="J2:J151">
    <cfRule type="top10" dxfId="4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/>
      <c r="H2" s="84"/>
      <c r="I2" s="85"/>
      <c r="J2" s="82"/>
      <c r="L2" s="283" t="s">
        <v>76</v>
      </c>
      <c r="M2" s="283"/>
      <c r="N2" s="283"/>
      <c r="O2" s="283"/>
      <c r="P2" s="283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/>
      <c r="H3" s="52"/>
      <c r="I3" s="101"/>
      <c r="J3" s="70"/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/>
      <c r="H4" s="52"/>
      <c r="I4" s="101"/>
      <c r="J4" s="70"/>
      <c r="L4" s="92">
        <v>6.7</v>
      </c>
      <c r="M4" s="93">
        <v>2.75</v>
      </c>
      <c r="N4" s="93">
        <v>4.0999999999999996</v>
      </c>
      <c r="O4" s="94">
        <v>1.5</v>
      </c>
      <c r="P4" s="95"/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/>
      <c r="H5" s="52"/>
      <c r="I5" s="101"/>
      <c r="J5" s="70"/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/>
      <c r="H6" s="52"/>
      <c r="I6" s="101"/>
      <c r="J6" s="70"/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/>
      <c r="H7" s="52"/>
      <c r="I7" s="101"/>
      <c r="J7" s="70"/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/>
      <c r="H8" s="52"/>
      <c r="I8" s="101"/>
      <c r="J8" s="70"/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/>
      <c r="H9" s="52"/>
      <c r="I9" s="101"/>
      <c r="J9" s="70"/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/>
      <c r="H10" s="52"/>
      <c r="I10" s="101"/>
      <c r="J10" s="70"/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/>
      <c r="H11" s="52"/>
      <c r="I11" s="101"/>
      <c r="J11" s="70"/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/>
      <c r="H12" s="52"/>
      <c r="I12" s="101"/>
      <c r="J12" s="70"/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/>
      <c r="H13" s="52"/>
      <c r="I13" s="101"/>
      <c r="J13" s="70"/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/>
      <c r="H14" s="52"/>
      <c r="I14" s="101"/>
      <c r="J14" s="70"/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/>
      <c r="H15" s="52"/>
      <c r="I15" s="101"/>
      <c r="J15" s="70"/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/>
      <c r="H16" s="52"/>
      <c r="I16" s="101"/>
      <c r="J16" s="70"/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/>
      <c r="H17" s="52"/>
      <c r="I17" s="101"/>
      <c r="J17" s="70"/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/>
      <c r="H18" s="52"/>
      <c r="I18" s="101"/>
      <c r="J18" s="70"/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/>
      <c r="H19" s="52"/>
      <c r="I19" s="101"/>
      <c r="J19" s="70"/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/>
      <c r="H20" s="52"/>
      <c r="I20" s="101"/>
      <c r="J20" s="70"/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/>
      <c r="H21" s="52"/>
      <c r="I21" s="101"/>
      <c r="J21" s="70"/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/>
      <c r="H22" s="52"/>
      <c r="I22" s="101"/>
      <c r="J22" s="70"/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/>
      <c r="H23" s="52"/>
      <c r="I23" s="101"/>
      <c r="J23" s="70"/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/>
      <c r="H24" s="52"/>
      <c r="I24" s="101"/>
      <c r="J24" s="70"/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/>
      <c r="H25" s="52"/>
      <c r="I25" s="101"/>
      <c r="J25" s="70"/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/>
      <c r="H26" s="52"/>
      <c r="I26" s="101"/>
      <c r="J26" s="70"/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/>
      <c r="H27" s="52"/>
      <c r="I27" s="101"/>
      <c r="J27" s="70"/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/>
      <c r="H28" s="52"/>
      <c r="I28" s="101"/>
      <c r="J28" s="70"/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/>
      <c r="H29" s="52"/>
      <c r="I29" s="101"/>
      <c r="J29" s="70"/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/>
      <c r="H30" s="52"/>
      <c r="I30" s="101"/>
      <c r="J30" s="70"/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/>
      <c r="H31" s="52"/>
      <c r="I31" s="101"/>
      <c r="J31" s="70"/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/>
      <c r="H32" s="52"/>
      <c r="I32" s="101"/>
      <c r="J32" s="70"/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/>
      <c r="H33" s="52"/>
      <c r="I33" s="101"/>
      <c r="J33" s="70"/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/>
      <c r="H34" s="52"/>
      <c r="I34" s="101"/>
      <c r="J34" s="70"/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/>
      <c r="H35" s="52"/>
      <c r="I35" s="101"/>
      <c r="J35" s="70"/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/>
      <c r="H36" s="52"/>
      <c r="I36" s="101"/>
      <c r="J36" s="70"/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/>
      <c r="H37" s="52"/>
      <c r="I37" s="101"/>
      <c r="J37" s="70"/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/>
      <c r="H38" s="52"/>
      <c r="I38" s="101"/>
      <c r="J38" s="70"/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/>
      <c r="H39" s="52"/>
      <c r="I39" s="101"/>
      <c r="J39" s="70"/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/>
      <c r="H40" s="52"/>
      <c r="I40" s="101"/>
      <c r="J40" s="70"/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/>
      <c r="H41" s="52"/>
      <c r="I41" s="101"/>
      <c r="J41" s="70"/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/>
      <c r="H42" s="52"/>
      <c r="I42" s="101"/>
      <c r="J42" s="70"/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/>
      <c r="H43" s="52"/>
      <c r="I43" s="101"/>
      <c r="J43" s="70"/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/>
      <c r="H44" s="52"/>
      <c r="I44" s="101"/>
      <c r="J44" s="70"/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/>
      <c r="H45" s="52"/>
      <c r="I45" s="101"/>
      <c r="J45" s="70"/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/>
      <c r="H46" s="52"/>
      <c r="I46" s="101"/>
      <c r="J46" s="70"/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/>
      <c r="H47" s="52"/>
      <c r="I47" s="101"/>
      <c r="J47" s="70"/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/>
      <c r="H48" s="52"/>
      <c r="I48" s="101"/>
      <c r="J48" s="70"/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/>
      <c r="H49" s="52"/>
      <c r="I49" s="101"/>
      <c r="J49" s="70"/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/>
      <c r="H50" s="52"/>
      <c r="I50" s="101"/>
      <c r="J50" s="70"/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/>
      <c r="H51" s="52"/>
      <c r="I51" s="101"/>
      <c r="J51" s="70"/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/>
      <c r="H52" s="52"/>
      <c r="I52" s="101"/>
      <c r="J52" s="70"/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/>
      <c r="H53" s="52"/>
      <c r="I53" s="101"/>
      <c r="J53" s="70"/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/>
      <c r="H54" s="52"/>
      <c r="I54" s="101"/>
      <c r="J54" s="70"/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/>
      <c r="H55" s="52"/>
      <c r="I55" s="101"/>
      <c r="J55" s="70"/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/>
      <c r="H56" s="52"/>
      <c r="I56" s="101"/>
      <c r="J56" s="70"/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/>
      <c r="H57" s="52"/>
      <c r="I57" s="101"/>
      <c r="J57" s="70"/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/>
      <c r="H58" s="52"/>
      <c r="I58" s="101"/>
      <c r="J58" s="70"/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/>
      <c r="H59" s="52"/>
      <c r="I59" s="101"/>
      <c r="J59" s="70"/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/>
      <c r="H60" s="52"/>
      <c r="I60" s="101"/>
      <c r="J60" s="70"/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/>
      <c r="H61" s="52"/>
      <c r="I61" s="101"/>
      <c r="J61" s="70"/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/>
      <c r="H62" s="52"/>
      <c r="I62" s="101"/>
      <c r="J62" s="70"/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/>
      <c r="H63" s="52"/>
      <c r="I63" s="101"/>
      <c r="J63" s="70"/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/>
      <c r="H64" s="52"/>
      <c r="I64" s="101"/>
      <c r="J64" s="70"/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/>
      <c r="H65" s="52"/>
      <c r="I65" s="101"/>
      <c r="J65" s="70"/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/>
      <c r="H66" s="52"/>
      <c r="I66" s="101"/>
      <c r="J66" s="70"/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/>
      <c r="H67" s="52"/>
      <c r="I67" s="101"/>
      <c r="J67" s="70"/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/>
      <c r="H68" s="52"/>
      <c r="I68" s="101"/>
      <c r="J68" s="70"/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/>
      <c r="H69" s="52"/>
      <c r="I69" s="101"/>
      <c r="J69" s="70"/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/>
      <c r="H70" s="52"/>
      <c r="I70" s="101"/>
      <c r="J70" s="70"/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/>
      <c r="H71" s="52"/>
      <c r="I71" s="101"/>
      <c r="J71" s="70"/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/>
      <c r="H72" s="52"/>
      <c r="I72" s="101"/>
      <c r="J72" s="70"/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/>
      <c r="H73" s="52"/>
      <c r="I73" s="101"/>
      <c r="J73" s="70"/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/>
      <c r="H74" s="52"/>
      <c r="I74" s="101"/>
      <c r="J74" s="70"/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/>
      <c r="H75" s="52"/>
      <c r="I75" s="101"/>
      <c r="J75" s="70"/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/>
      <c r="H76" s="52"/>
      <c r="I76" s="101"/>
      <c r="J76" s="70"/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/>
      <c r="H77" s="52"/>
      <c r="I77" s="101"/>
      <c r="J77" s="70"/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/>
      <c r="H78" s="52"/>
      <c r="I78" s="101"/>
      <c r="J78" s="70"/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/>
      <c r="H79" s="52"/>
      <c r="I79" s="101"/>
      <c r="J79" s="70"/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/>
      <c r="H80" s="52"/>
      <c r="I80" s="101"/>
      <c r="J80" s="70"/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/>
      <c r="H81" s="52"/>
      <c r="I81" s="101"/>
      <c r="J81" s="70"/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/>
      <c r="H82" s="52"/>
      <c r="I82" s="101"/>
      <c r="J82" s="70"/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/>
      <c r="H83" s="52"/>
      <c r="I83" s="101"/>
      <c r="J83" s="70"/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/>
      <c r="H84" s="52"/>
      <c r="I84" s="101"/>
      <c r="J84" s="70"/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/>
      <c r="H85" s="52"/>
      <c r="I85" s="101"/>
      <c r="J85" s="70"/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/>
      <c r="H86" s="52"/>
      <c r="I86" s="101"/>
      <c r="J86" s="70"/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/>
      <c r="H87" s="52"/>
      <c r="I87" s="101"/>
      <c r="J87" s="70"/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/>
      <c r="H88" s="52"/>
      <c r="I88" s="101"/>
      <c r="J88" s="70"/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/>
      <c r="H89" s="52"/>
      <c r="I89" s="101"/>
      <c r="J89" s="70"/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/>
      <c r="H90" s="52"/>
      <c r="I90" s="101"/>
      <c r="J90" s="70"/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/>
      <c r="H91" s="52"/>
      <c r="I91" s="101"/>
      <c r="J91" s="70"/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/>
      <c r="H92" s="52"/>
      <c r="I92" s="101"/>
      <c r="J92" s="70"/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/>
      <c r="H93" s="52"/>
      <c r="I93" s="101"/>
      <c r="J93" s="70"/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/>
      <c r="H94" s="52"/>
      <c r="I94" s="101"/>
      <c r="J94" s="70"/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/>
      <c r="H95" s="52"/>
      <c r="I95" s="101"/>
      <c r="J95" s="70"/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/>
      <c r="H96" s="52"/>
      <c r="I96" s="101"/>
      <c r="J96" s="70"/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/>
      <c r="H97" s="52"/>
      <c r="I97" s="101"/>
      <c r="J97" s="70"/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/>
      <c r="H98" s="52"/>
      <c r="I98" s="101"/>
      <c r="J98" s="70"/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/>
      <c r="H99" s="52"/>
      <c r="I99" s="101"/>
      <c r="J99" s="70"/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/>
      <c r="H100" s="52"/>
      <c r="I100" s="101"/>
      <c r="J100" s="70"/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/>
      <c r="H101" s="52"/>
      <c r="I101" s="101"/>
      <c r="J101" s="70"/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/>
      <c r="H102" s="52"/>
      <c r="I102" s="101"/>
      <c r="J102" s="70"/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/>
      <c r="H103" s="52"/>
      <c r="I103" s="101"/>
      <c r="J103" s="70"/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/>
      <c r="H104" s="52"/>
      <c r="I104" s="101"/>
      <c r="J104" s="70"/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/>
      <c r="H105" s="52"/>
      <c r="I105" s="101"/>
      <c r="J105" s="70"/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/>
      <c r="H106" s="52"/>
      <c r="I106" s="101"/>
      <c r="J106" s="70"/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/>
      <c r="H107" s="52"/>
      <c r="I107" s="101"/>
      <c r="J107" s="70"/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/>
      <c r="H108" s="52"/>
      <c r="I108" s="101"/>
      <c r="J108" s="70"/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/>
      <c r="H109" s="52"/>
      <c r="I109" s="101"/>
      <c r="J109" s="70"/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/>
      <c r="H110" s="52"/>
      <c r="I110" s="101"/>
      <c r="J110" s="70"/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/>
      <c r="H111" s="52"/>
      <c r="I111" s="101"/>
      <c r="J111" s="70"/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/>
      <c r="H112" s="52"/>
      <c r="I112" s="101"/>
      <c r="J112" s="70"/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/>
      <c r="H113" s="52"/>
      <c r="I113" s="101"/>
      <c r="J113" s="70"/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/>
      <c r="H114" s="52"/>
      <c r="I114" s="101"/>
      <c r="J114" s="70"/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/>
      <c r="H115" s="52"/>
      <c r="I115" s="101"/>
      <c r="J115" s="70"/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/>
      <c r="H116" s="52"/>
      <c r="I116" s="101"/>
      <c r="J116" s="70"/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/>
      <c r="H117" s="52"/>
      <c r="I117" s="101"/>
      <c r="J117" s="70"/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/>
      <c r="H118" s="52"/>
      <c r="I118" s="101"/>
      <c r="J118" s="70"/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/>
      <c r="H119" s="52"/>
      <c r="I119" s="101"/>
      <c r="J119" s="70"/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/>
      <c r="H120" s="52"/>
      <c r="I120" s="101"/>
      <c r="J120" s="70"/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/>
      <c r="H121" s="52"/>
      <c r="I121" s="101"/>
      <c r="J121" s="70"/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/>
      <c r="H122" s="52"/>
      <c r="I122" s="101"/>
      <c r="J122" s="70"/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/>
      <c r="H123" s="52"/>
      <c r="I123" s="101"/>
      <c r="J123" s="70"/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/>
      <c r="H124" s="52"/>
      <c r="I124" s="101"/>
      <c r="J124" s="70"/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/>
      <c r="H125" s="52"/>
      <c r="I125" s="101"/>
      <c r="J125" s="70"/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/>
      <c r="H126" s="52"/>
      <c r="I126" s="101"/>
      <c r="J126" s="70"/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/>
      <c r="H127" s="52"/>
      <c r="I127" s="101"/>
      <c r="J127" s="70"/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/>
      <c r="H128" s="52"/>
      <c r="I128" s="101"/>
      <c r="J128" s="70"/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/>
      <c r="H129" s="52"/>
      <c r="I129" s="101"/>
      <c r="J129" s="70"/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/>
      <c r="H130" s="52"/>
      <c r="I130" s="101"/>
      <c r="J130" s="70"/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/>
      <c r="H131" s="52"/>
      <c r="I131" s="101"/>
      <c r="J131" s="70"/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/>
      <c r="H132" s="52"/>
      <c r="I132" s="101"/>
      <c r="J132" s="70"/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/>
      <c r="H133" s="52"/>
      <c r="I133" s="101"/>
      <c r="J133" s="70"/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/>
      <c r="H134" s="52"/>
      <c r="I134" s="101"/>
      <c r="J134" s="70"/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/>
      <c r="H135" s="52"/>
      <c r="I135" s="101"/>
      <c r="J135" s="70"/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/>
      <c r="H136" s="52"/>
      <c r="I136" s="101"/>
      <c r="J136" s="70"/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/>
      <c r="H137" s="52"/>
      <c r="I137" s="101"/>
      <c r="J137" s="70"/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/>
      <c r="H138" s="52"/>
      <c r="I138" s="101"/>
      <c r="J138" s="70"/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/>
      <c r="H139" s="52"/>
      <c r="I139" s="101"/>
      <c r="J139" s="70"/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/>
      <c r="H140" s="52"/>
      <c r="I140" s="101"/>
      <c r="J140" s="70"/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/>
      <c r="H141" s="52"/>
      <c r="I141" s="101"/>
      <c r="J141" s="70"/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/>
      <c r="H142" s="52"/>
      <c r="I142" s="101"/>
      <c r="J142" s="70"/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/>
      <c r="H143" s="52"/>
      <c r="I143" s="101"/>
      <c r="J143" s="70"/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/>
      <c r="H144" s="52"/>
      <c r="I144" s="101"/>
      <c r="J144" s="70"/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/>
      <c r="H145" s="52"/>
      <c r="I145" s="101"/>
      <c r="J145" s="70"/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/>
      <c r="H146" s="52"/>
      <c r="I146" s="101"/>
      <c r="J146" s="70"/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/>
      <c r="H147" s="52"/>
      <c r="I147" s="101"/>
      <c r="J147" s="70"/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/>
      <c r="H148" s="52"/>
      <c r="I148" s="101"/>
      <c r="J148" s="70"/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/>
      <c r="H149" s="52"/>
      <c r="I149" s="101"/>
      <c r="J149" s="70"/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/>
      <c r="H150" s="52"/>
      <c r="I150" s="101"/>
      <c r="J150" s="70"/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/>
      <c r="H151" s="60"/>
      <c r="I151" s="102"/>
      <c r="J151" s="99"/>
    </row>
  </sheetData>
  <mergeCells count="1">
    <mergeCell ref="L2:P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284" t="s">
        <v>92</v>
      </c>
      <c r="F2" s="285"/>
      <c r="H2" s="284" t="s">
        <v>92</v>
      </c>
      <c r="I2" s="285"/>
      <c r="K2" s="284" t="s">
        <v>92</v>
      </c>
      <c r="L2" s="285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286" t="s">
        <v>108</v>
      </c>
      <c r="C19" s="28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284" t="s">
        <v>92</v>
      </c>
      <c r="F2" s="285"/>
      <c r="H2" s="284" t="s">
        <v>92</v>
      </c>
      <c r="I2" s="285"/>
      <c r="K2" s="284" t="s">
        <v>92</v>
      </c>
      <c r="L2" s="285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286" t="s">
        <v>108</v>
      </c>
      <c r="C19" s="28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287" t="s">
        <v>112</v>
      </c>
      <c r="C1" s="288"/>
      <c r="D1" s="288"/>
      <c r="E1" s="288"/>
      <c r="F1" s="288"/>
      <c r="G1" s="288"/>
      <c r="H1" s="288"/>
      <c r="I1" s="288"/>
      <c r="J1" s="288"/>
      <c r="K1" s="288"/>
      <c r="L1" s="289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290" t="s">
        <v>130</v>
      </c>
      <c r="D2" s="291"/>
      <c r="E2" s="291"/>
      <c r="F2" s="291"/>
      <c r="G2" s="291"/>
      <c r="H2" s="291"/>
      <c r="I2" s="291"/>
      <c r="J2" s="291"/>
      <c r="K2" s="292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293" t="s">
        <v>137</v>
      </c>
      <c r="D17" s="294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295" t="s">
        <v>138</v>
      </c>
      <c r="E18" s="296"/>
      <c r="F18" s="296"/>
      <c r="G18" s="296"/>
      <c r="H18" s="296"/>
      <c r="I18" s="296"/>
      <c r="J18" s="296"/>
      <c r="K18" s="297"/>
    </row>
    <row r="19" spans="3:12" ht="15" thickBot="1">
      <c r="C19" s="57" t="s">
        <v>135</v>
      </c>
      <c r="D19" s="298" t="s">
        <v>139</v>
      </c>
      <c r="E19" s="299"/>
      <c r="F19" s="299"/>
      <c r="G19" s="299"/>
      <c r="H19" s="299"/>
      <c r="I19" s="299"/>
      <c r="J19" s="299"/>
      <c r="K19" s="300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2025-10-15T03:15:32Z</dcterms:modified>
</cp:coreProperties>
</file>