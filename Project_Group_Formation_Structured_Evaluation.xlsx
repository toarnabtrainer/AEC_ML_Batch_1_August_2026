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 Backup\2GITHUB\AEC_ML_Batch_1_August_2026\"/>
    </mc:Choice>
  </mc:AlternateContent>
  <xr:revisionPtr revIDLastSave="0" documentId="13_ncr:1_{F27A72E7-2CD8-459E-83F6-373909FC0A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Groups" sheetId="1" r:id="rId1"/>
    <sheet name="Student Roster" sheetId="2" r:id="rId2"/>
    <sheet name="Original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F18" i="1"/>
  <c r="L17" i="1"/>
  <c r="F17" i="1"/>
  <c r="L16" i="1"/>
  <c r="F16" i="1"/>
  <c r="L15" i="1"/>
  <c r="F15" i="1"/>
  <c r="L14" i="1"/>
  <c r="F14" i="1"/>
  <c r="L13" i="1"/>
  <c r="F13" i="1"/>
  <c r="L12" i="1"/>
  <c r="F12" i="1"/>
  <c r="L11" i="1"/>
  <c r="F11" i="1"/>
  <c r="L10" i="1"/>
  <c r="F10" i="1"/>
  <c r="L9" i="1"/>
  <c r="F9" i="1"/>
  <c r="L8" i="1"/>
  <c r="F8" i="1"/>
  <c r="L7" i="1"/>
  <c r="K4" i="1" s="1"/>
  <c r="F7" i="1"/>
  <c r="H4" i="1"/>
  <c r="B4" i="1"/>
  <c r="E4" i="1" l="1"/>
</calcChain>
</file>

<file path=xl/sharedStrings.xml><?xml version="1.0" encoding="utf-8"?>
<sst xmlns="http://schemas.openxmlformats.org/spreadsheetml/2006/main" count="817" uniqueCount="317">
  <si>
    <t>Evaluation scheme: Project Design &amp; Implementation (40) + Presentation &amp; Demonstration (30) + Viva / Technical Understanding (30) = 100</t>
  </si>
  <si>
    <t>Enter marks only in the yellow cells. Total Marks is calculated automatically after all three components are entered.</t>
  </si>
  <si>
    <t>Total Groups</t>
  </si>
  <si>
    <t>Total Students</t>
  </si>
  <si>
    <t>Evaluated Groups</t>
  </si>
  <si>
    <t>Average Marks</t>
  </si>
  <si>
    <t>Group ID</t>
  </si>
  <si>
    <t>Department(s)</t>
  </si>
  <si>
    <t>Semester</t>
  </si>
  <si>
    <t>Project Technology</t>
  </si>
  <si>
    <t>Project Title</t>
  </si>
  <si>
    <t>No. of Members</t>
  </si>
  <si>
    <t>Team Members</t>
  </si>
  <si>
    <t>University Roll Numbers</t>
  </si>
  <si>
    <t>Project Design &amp; Implementation (40)</t>
  </si>
  <si>
    <t>Presentation &amp; Demonstration (30)</t>
  </si>
  <si>
    <t>Viva / Technical Understanding (30)</t>
  </si>
  <si>
    <t>Total Marks (100)</t>
  </si>
  <si>
    <t>PG-01</t>
  </si>
  <si>
    <t>CSE(AIML)</t>
  </si>
  <si>
    <t>5th</t>
  </si>
  <si>
    <t>ML with Python</t>
  </si>
  <si>
    <t>Behind the Feed: Multimodal Machine Learning for Mental Health Detection on Social Media</t>
  </si>
  <si>
    <t>1. ANURUPA TEWARY
2. Puja Sinha</t>
  </si>
  <si>
    <t>1. 108308240010
2. 108308240057</t>
  </si>
  <si>
    <t>PG-02</t>
  </si>
  <si>
    <t>DepositIQ: Data-Leakage- Aware &amp; Bank Deposit Predictor</t>
  </si>
  <si>
    <t>1. Ananya Brahma
2. Obaidullah Ansari
3. Aryan Baitha</t>
  </si>
  <si>
    <t>1. 108308240005
2. 108308240024
3. 108308240047</t>
  </si>
  <si>
    <t>PG-03</t>
  </si>
  <si>
    <t>IT, CSE(AIML)</t>
  </si>
  <si>
    <t>Multi-Class EEG Signal Classification Using Machine Learning</t>
  </si>
  <si>
    <t>1. Surabhi Bharati
2. Shiwangi Chaudhary
3. Anshika Raj
4. Rifat Jahan
5. Sanjog Dey</t>
  </si>
  <si>
    <t>1. 108002240118
2. 108002240101
3. 108308240009
4. 108002240137
5. 108002240095</t>
  </si>
  <si>
    <t>PG-04</t>
  </si>
  <si>
    <t>CSE(AI&amp;ML), CSE(IOT)</t>
  </si>
  <si>
    <t>EV BATTERY LIFE PREDICTION</t>
  </si>
  <si>
    <t>1. Ankit Debnath
2. Anish Kumar Burnwal
3. SRIJAN SAHA</t>
  </si>
  <si>
    <t>1. 108308240007
2. 108308240006
3. 108309240026</t>
  </si>
  <si>
    <t>PG-05</t>
  </si>
  <si>
    <t>IT</t>
  </si>
  <si>
    <t>AI-Powered Network Intrusion Detection &amp; Threat Analysis</t>
  </si>
  <si>
    <t>1. Rishika Kaur
2. Rima Mondal
3. Himesh Kumar Singh
4. Priyanshu Piyush
5. Gaurav Abhishek</t>
  </si>
  <si>
    <t>1. 108002240083
2. 108002240080
3. 108002240055
4. 108002240077
5. 108002240051</t>
  </si>
  <si>
    <t>PG-06</t>
  </si>
  <si>
    <t>TerraShift— Explore how small changes can reshape our world.</t>
  </si>
  <si>
    <t>1. Zayed Ahmed
2. Amitesh Raj Ranjan
3. Riyan Reza
4. Sarfaraj Alam
5. Ayush Pratap</t>
  </si>
  <si>
    <t>1. 108002240127
2. 108308240045
3. 108308240030
4. 108002240139
5. 108002240040</t>
  </si>
  <si>
    <t>PG-07</t>
  </si>
  <si>
    <t>SPAM EMAIL DETECTION</t>
  </si>
  <si>
    <t>1. RAGHAW CHOWDHARY
2. ANKIT RAJ
3. PIYUSH RAJ YADAV
4. BITTU MONDAL</t>
  </si>
  <si>
    <t>1. 108308240028
2. 108308240008
3. 108308240056
4. 108308240015</t>
  </si>
  <si>
    <t>PG-08</t>
  </si>
  <si>
    <t>Obesity Level Prediction Using Machine Learning Based on Eating Habits and Physical Activity</t>
  </si>
  <si>
    <t>1. Amit Kumar Sharma
2. Aditya Kumar Singh
3. Abhibrato Chakraborty
4. Amrit Anand</t>
  </si>
  <si>
    <t>1. 108002240012
2. 108002240004
3. 108002240002
4. 108002240013</t>
  </si>
  <si>
    <t>PG-09</t>
  </si>
  <si>
    <t>Fake News Detection Using Machine Learning</t>
  </si>
  <si>
    <t>1. Sumit Bhandari</t>
  </si>
  <si>
    <t>1. 108002240115</t>
  </si>
  <si>
    <t>PG-10</t>
  </si>
  <si>
    <t>CSE(IOT), AIML, IT</t>
  </si>
  <si>
    <t>ClientAnchor : Securing relationships, preventing drift.</t>
  </si>
  <si>
    <t>1. Mohit Yadav
2. Bhagwat Narayan
3. Anurag Singh
4. Ambreen Anjum
5. Harsh Ray</t>
  </si>
  <si>
    <t>1. 108309240019
2. 108002240042
3. 108002240023
4. 108002240011
5. 108308240017</t>
  </si>
  <si>
    <t>PG-11</t>
  </si>
  <si>
    <t>"AAVYA" - An Heredity AI — Intergenerational Women's Health Risk Intelligence</t>
  </si>
  <si>
    <t>1. Pratyush Dutta
2. Ashif Hussain Ansari
3. Priya Bouri
4. Sayan Goswami
5. Amit Mondal
6. Saptarshi Roy</t>
  </si>
  <si>
    <t>1. 108308240025
2. 108308240012
3. 108308240026
4. 108308240060
5. 108308240044
6. 108308240033</t>
  </si>
  <si>
    <t>PG-12</t>
  </si>
  <si>
    <t>MANAS : A MACHINE LEARNING BASED MENTAL HEALTH SCORING SYSTEM</t>
  </si>
  <si>
    <t>1. SUBHAM PAL
2. ANWESHA MAJI
3. TUSHAR SINGH
4. SOUVIK MAJI
5. SAYONDEEP MONDAL</t>
  </si>
  <si>
    <t>1. 108002240111
2. 108002240025
3. 108002251020
4. 108002240108
5. 108002240098</t>
  </si>
  <si>
    <t>NORMALIZED STUDENT ROSTER</t>
  </si>
  <si>
    <t>One student per row, linked to the corresponding project group for easier filtering, communication, and record keeping.</t>
  </si>
  <si>
    <t>Member No.</t>
  </si>
  <si>
    <t>University Roll Number</t>
  </si>
  <si>
    <t>Student Name</t>
  </si>
  <si>
    <t>Email ID</t>
  </si>
  <si>
    <t>Contact Number</t>
  </si>
  <si>
    <t>108308240010</t>
  </si>
  <si>
    <t>ANURUPA TEWARY</t>
  </si>
  <si>
    <t>tewaryanurupa@gmail.com</t>
  </si>
  <si>
    <t>9339609081</t>
  </si>
  <si>
    <t>108308240057</t>
  </si>
  <si>
    <t>Puja Sinha</t>
  </si>
  <si>
    <t>pujasinha1607@gmail.com</t>
  </si>
  <si>
    <t>9942545845</t>
  </si>
  <si>
    <t>108308240005</t>
  </si>
  <si>
    <t>Ananya Brahma</t>
  </si>
  <si>
    <t>ananyabrahma79@gmail.com</t>
  </si>
  <si>
    <t>8240762628</t>
  </si>
  <si>
    <t>108308240024</t>
  </si>
  <si>
    <t>Obaidullah Ansari</t>
  </si>
  <si>
    <t>obaidullahansari211@gmail.com</t>
  </si>
  <si>
    <t>9134123943</t>
  </si>
  <si>
    <t>108308240047</t>
  </si>
  <si>
    <t>Aryan Baitha</t>
  </si>
  <si>
    <t>aryan10killer@gmail.com</t>
  </si>
  <si>
    <t>8918380212</t>
  </si>
  <si>
    <t>108002240118</t>
  </si>
  <si>
    <t>Surabhi Bharati</t>
  </si>
  <si>
    <t>bharatisurabhi92@gmail.com</t>
  </si>
  <si>
    <t>9932005505</t>
  </si>
  <si>
    <t>108002240101</t>
  </si>
  <si>
    <t>Shiwangi Chaudhary</t>
  </si>
  <si>
    <t>shiwangi06006@gmail.com</t>
  </si>
  <si>
    <t>8757989850</t>
  </si>
  <si>
    <t>108308240009</t>
  </si>
  <si>
    <t>Anshika Raj</t>
  </si>
  <si>
    <t>anshikabytes@gmail.com</t>
  </si>
  <si>
    <t>7004821459</t>
  </si>
  <si>
    <t>108002240137</t>
  </si>
  <si>
    <t>Rifat Jahan</t>
  </si>
  <si>
    <t>jahanrifat401@gmail.com</t>
  </si>
  <si>
    <t>8918727960</t>
  </si>
  <si>
    <t>108002240095</t>
  </si>
  <si>
    <t>Sanjog Dey</t>
  </si>
  <si>
    <t>sanjogdey6@gmail.com</t>
  </si>
  <si>
    <t>9341369427</t>
  </si>
  <si>
    <t>108308240007</t>
  </si>
  <si>
    <t>Ankit Debnath</t>
  </si>
  <si>
    <t>ashokedebnath999@gmail.com</t>
  </si>
  <si>
    <t>8013589931</t>
  </si>
  <si>
    <t>108308240006</t>
  </si>
  <si>
    <t>Anish Kumar Burnwal</t>
  </si>
  <si>
    <t>anishkumarburnwal9@gmail.com</t>
  </si>
  <si>
    <t>7908715319</t>
  </si>
  <si>
    <t>108309240026</t>
  </si>
  <si>
    <t>SRIJAN SAHA</t>
  </si>
  <si>
    <t>sahasrijan34@gmail.com</t>
  </si>
  <si>
    <t>7384438790</t>
  </si>
  <si>
    <t>108002240083</t>
  </si>
  <si>
    <t>Rishika Kaur</t>
  </si>
  <si>
    <t>kaurrishika377@gmail.com</t>
  </si>
  <si>
    <t>8944871235</t>
  </si>
  <si>
    <t>108002240080</t>
  </si>
  <si>
    <t>Rima Mondal</t>
  </si>
  <si>
    <t>aec.it.rima@gmail.com</t>
  </si>
  <si>
    <t>8927953840</t>
  </si>
  <si>
    <t>108002240055</t>
  </si>
  <si>
    <t>Himesh Kumar Singh</t>
  </si>
  <si>
    <t>himeshkumarsingh0@gmail.com</t>
  </si>
  <si>
    <t>8927054895</t>
  </si>
  <si>
    <t>108002240077</t>
  </si>
  <si>
    <t>Priyanshu Piyush</t>
  </si>
  <si>
    <t>rritu0783@gmail.com</t>
  </si>
  <si>
    <t>7544093260</t>
  </si>
  <si>
    <t>108002240051</t>
  </si>
  <si>
    <t>Gaurav Abhishek</t>
  </si>
  <si>
    <t>gauravabhishek6580@gmail.com</t>
  </si>
  <si>
    <t>9625059895</t>
  </si>
  <si>
    <t>108002240127</t>
  </si>
  <si>
    <t>Zayed Ahmed</t>
  </si>
  <si>
    <t>zadahmed745@gmail.com</t>
  </si>
  <si>
    <t>9031910550</t>
  </si>
  <si>
    <t>108308240045</t>
  </si>
  <si>
    <t>Amitesh Raj Ranjan</t>
  </si>
  <si>
    <t>amiteshrajranjan24@gmail.com</t>
  </si>
  <si>
    <t>8340763341</t>
  </si>
  <si>
    <t>108308240030</t>
  </si>
  <si>
    <t>Riyan Reza</t>
  </si>
  <si>
    <t>lorditshis@gmail.com</t>
  </si>
  <si>
    <t>6206549047</t>
  </si>
  <si>
    <t>108002240139</t>
  </si>
  <si>
    <t>Sarfaraj Alam</t>
  </si>
  <si>
    <t>sarfarajalam03057@gmail.com</t>
  </si>
  <si>
    <t>6295252225</t>
  </si>
  <si>
    <t>108002240040</t>
  </si>
  <si>
    <t>Ayush Pratap</t>
  </si>
  <si>
    <t>ayushpratap291@gmail.com</t>
  </si>
  <si>
    <t>9155458468</t>
  </si>
  <si>
    <t>108308240028</t>
  </si>
  <si>
    <t>RAGHAW CHOWDHARY</t>
  </si>
  <si>
    <t>raghawchowdhary@gmail.com</t>
  </si>
  <si>
    <t>7699575827</t>
  </si>
  <si>
    <t>108308240008</t>
  </si>
  <si>
    <t>ANKIT RAJ</t>
  </si>
  <si>
    <t>swankitburnwal@gmail.com</t>
  </si>
  <si>
    <t>7797563797</t>
  </si>
  <si>
    <t>108308240056</t>
  </si>
  <si>
    <t>PIYUSH RAJ YADAV</t>
  </si>
  <si>
    <t>piyushsocial224@gmail.com</t>
  </si>
  <si>
    <t>7908384224</t>
  </si>
  <si>
    <t>108308240015</t>
  </si>
  <si>
    <t>BITTU MONDAL</t>
  </si>
  <si>
    <t>mondalbittu1111@gmail.com</t>
  </si>
  <si>
    <t>9798000924</t>
  </si>
  <si>
    <t>108002240012</t>
  </si>
  <si>
    <t>Amit Kumar Sharma</t>
  </si>
  <si>
    <t>amitxinfinity@gmail.com</t>
  </si>
  <si>
    <t>9475306664</t>
  </si>
  <si>
    <t>108002240004</t>
  </si>
  <si>
    <t>Aditya Kumar Singh</t>
  </si>
  <si>
    <t>adityasinghsingh1111@gmail.com</t>
  </si>
  <si>
    <t>9508352712</t>
  </si>
  <si>
    <t>108002240002</t>
  </si>
  <si>
    <t>Abhibrato Chakraborty</t>
  </si>
  <si>
    <t>roysarmistha40@gmail.com</t>
  </si>
  <si>
    <t>8597985836</t>
  </si>
  <si>
    <t>108002240013</t>
  </si>
  <si>
    <t>Amrit Anand</t>
  </si>
  <si>
    <t>aec.it.amrit@gmail.com</t>
  </si>
  <si>
    <t>7319015752</t>
  </si>
  <si>
    <t>108002240115</t>
  </si>
  <si>
    <t>Sumit Bhandari</t>
  </si>
  <si>
    <t>www.sumitbhandari887@gmail.com</t>
  </si>
  <si>
    <t>8918537805</t>
  </si>
  <si>
    <t>108309240019</t>
  </si>
  <si>
    <t>Mohit Yadav</t>
  </si>
  <si>
    <t>yadavmohit85692@gmail.com</t>
  </si>
  <si>
    <t>9064575561</t>
  </si>
  <si>
    <t>108002240042</t>
  </si>
  <si>
    <t>Bhagwat Narayan</t>
  </si>
  <si>
    <t>bhagwatdeepanshu@gmail.com</t>
  </si>
  <si>
    <t>9958640238</t>
  </si>
  <si>
    <t>108002240023</t>
  </si>
  <si>
    <t>Anurag Singh</t>
  </si>
  <si>
    <t>aec.it.anuragsingh.23@gmail.com</t>
  </si>
  <si>
    <t>6203280804</t>
  </si>
  <si>
    <t>108002240011</t>
  </si>
  <si>
    <t>Ambreen Anjum</t>
  </si>
  <si>
    <t>ambreenanjum1409@gmail.com</t>
  </si>
  <si>
    <t>8389822400</t>
  </si>
  <si>
    <t>108308240017</t>
  </si>
  <si>
    <t>Harsh Ray</t>
  </si>
  <si>
    <t>harshray2007@gmail.com</t>
  </si>
  <si>
    <t>9002555217</t>
  </si>
  <si>
    <t>108308240025</t>
  </si>
  <si>
    <t>Pratyush Dutta</t>
  </si>
  <si>
    <t>pratyush00710@gmail.com</t>
  </si>
  <si>
    <t>7810983647</t>
  </si>
  <si>
    <t>108308240012</t>
  </si>
  <si>
    <t>Ashif Hussain Ansari</t>
  </si>
  <si>
    <t>ashifhussainansari75@gmail.com</t>
  </si>
  <si>
    <t>9339060693</t>
  </si>
  <si>
    <t>108308240026</t>
  </si>
  <si>
    <t>Priya Bouri</t>
  </si>
  <si>
    <t>priyabouri47@gmail.com</t>
  </si>
  <si>
    <t>9883648500</t>
  </si>
  <si>
    <t>108308240060</t>
  </si>
  <si>
    <t>Sayan Goswami</t>
  </si>
  <si>
    <t>sayangoswami9999@gmail.com</t>
  </si>
  <si>
    <t>9064293028</t>
  </si>
  <si>
    <t>108308240044</t>
  </si>
  <si>
    <t>Amit Mondal</t>
  </si>
  <si>
    <t>amitbhai194a@gmail.com</t>
  </si>
  <si>
    <t>8159031712</t>
  </si>
  <si>
    <t>108308240033</t>
  </si>
  <si>
    <t>Saptarshi Roy</t>
  </si>
  <si>
    <t>saproy400@gmail.com</t>
  </si>
  <si>
    <t>9382752922</t>
  </si>
  <si>
    <t>108002240111</t>
  </si>
  <si>
    <t>SUBHAM PAL</t>
  </si>
  <si>
    <t>subhampal713334@gmail.com</t>
  </si>
  <si>
    <t>9339530803</t>
  </si>
  <si>
    <t>108002240025</t>
  </si>
  <si>
    <t>ANWESHA MAJI</t>
  </si>
  <si>
    <t>anweshamaji1510@gmail.com</t>
  </si>
  <si>
    <t>9064092165</t>
  </si>
  <si>
    <t>108002251020</t>
  </si>
  <si>
    <t>TUSHAR SINGH</t>
  </si>
  <si>
    <t>tusharsingh2379@gmail.com</t>
  </si>
  <si>
    <t>9832663802</t>
  </si>
  <si>
    <t>108002240108</t>
  </si>
  <si>
    <t>SOUVIK MAJI</t>
  </si>
  <si>
    <t>majisouvik098@gmail.com</t>
  </si>
  <si>
    <t>7001957379</t>
  </si>
  <si>
    <t>108002240098</t>
  </si>
  <si>
    <t>SAYONDEEP MONDAL</t>
  </si>
  <si>
    <t>mrsayonnn9@gmail.com</t>
  </si>
  <si>
    <t>6294753816</t>
  </si>
  <si>
    <t>ORIGINAL UPLOADED DATA</t>
  </si>
  <si>
    <t>The original wide-format information is preserved below for reference.</t>
  </si>
  <si>
    <t>Enter Department</t>
  </si>
  <si>
    <t>Enter Semester number</t>
  </si>
  <si>
    <t>Enter Technology of your Project</t>
  </si>
  <si>
    <t>Enter Selected Project Title</t>
  </si>
  <si>
    <t>Enter University Roll Number</t>
  </si>
  <si>
    <t>Enter Name</t>
  </si>
  <si>
    <t>Enter Email ID</t>
  </si>
  <si>
    <t>Enter Contact Number</t>
  </si>
  <si>
    <t>Enter University Roll Number2</t>
  </si>
  <si>
    <t>Enter Name2</t>
  </si>
  <si>
    <t>Enter Email ID2</t>
  </si>
  <si>
    <t>Enter Contact Number2</t>
  </si>
  <si>
    <t>Enter University Roll Number3</t>
  </si>
  <si>
    <t>Enter Name3</t>
  </si>
  <si>
    <t>Enter Email ID3</t>
  </si>
  <si>
    <t>Enter Contact Number3</t>
  </si>
  <si>
    <t>Enter University Roll Number4</t>
  </si>
  <si>
    <t>Enter Name4</t>
  </si>
  <si>
    <t>Enter Email ID4</t>
  </si>
  <si>
    <t>Enter Contact Number4</t>
  </si>
  <si>
    <t>Enter University Roll Number5</t>
  </si>
  <si>
    <t>Enter Name5</t>
  </si>
  <si>
    <t>Enter Email ID5</t>
  </si>
  <si>
    <t>Enter Contact Number5</t>
  </si>
  <si>
    <t>Enter University Roll Number6</t>
  </si>
  <si>
    <t>Enter Name6</t>
  </si>
  <si>
    <t>Enter Email ID6</t>
  </si>
  <si>
    <t>Enter Contact Number6</t>
  </si>
  <si>
    <t>IT,CSE(AIML)</t>
  </si>
  <si>
    <t>CSE(AI&amp;ML) , CSE(IOT)</t>
  </si>
  <si>
    <t>Group-01</t>
  </si>
  <si>
    <t>Group-02</t>
  </si>
  <si>
    <t>Group-03</t>
  </si>
  <si>
    <t>Group-04</t>
  </si>
  <si>
    <t>Group-05</t>
  </si>
  <si>
    <t>Group-06</t>
  </si>
  <si>
    <t>Group-07</t>
  </si>
  <si>
    <t>Group-08</t>
  </si>
  <si>
    <t>Group-09</t>
  </si>
  <si>
    <t>Group-10</t>
  </si>
  <si>
    <t>Group-11</t>
  </si>
  <si>
    <t>Group-12</t>
  </si>
  <si>
    <t>PROJECT GROUP FORMATION &amp; EVALUATION (Batch-2)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</si>
</sst>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0"/>
      <color rgb="FF1F1F1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1"/>
      <color rgb="FF1F1F1F"/>
      <name val="Carlito"/>
    </font>
    <font>
      <b/>
      <sz val="12"/>
      <color rgb="FF1F4E7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1" fontId="0" fillId="8" borderId="0" xfId="0" applyNumberFormat="1" applyFill="1" applyAlignment="1">
      <alignment horizontal="center" vertical="center" wrapText="1"/>
    </xf>
    <xf numFmtId="1" fontId="5" fillId="9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0" fillId="10" borderId="0" xfId="0" applyNumberFormat="1" applyFill="1" applyAlignment="1">
      <alignment horizontal="center" vertical="center" wrapText="1"/>
    </xf>
    <xf numFmtId="1" fontId="0" fillId="11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GroupsTable" displayName="ProjectGroupsTable" ref="A6:L18" totalsRowShown="0">
  <tableColumns count="12">
    <tableColumn id="1" xr3:uid="{00000000-0010-0000-0000-000001000000}" name="Group ID"/>
    <tableColumn id="2" xr3:uid="{00000000-0010-0000-0000-000002000000}" name="Department(s)"/>
    <tableColumn id="3" xr3:uid="{00000000-0010-0000-0000-000003000000}" name="Semester"/>
    <tableColumn id="4" xr3:uid="{00000000-0010-0000-0000-000004000000}" name="Project Technology"/>
    <tableColumn id="5" xr3:uid="{00000000-0010-0000-0000-000005000000}" name="Project Title"/>
    <tableColumn id="6" xr3:uid="{00000000-0010-0000-0000-000006000000}" name="No. of Members"/>
    <tableColumn id="7" xr3:uid="{00000000-0010-0000-0000-000007000000}" name="Team Members"/>
    <tableColumn id="8" xr3:uid="{00000000-0010-0000-0000-000008000000}" name="University Roll Numbers"/>
    <tableColumn id="9" xr3:uid="{00000000-0010-0000-0000-000009000000}" name="Project Design &amp; Implementation (40)"/>
    <tableColumn id="10" xr3:uid="{00000000-0010-0000-0000-00000A000000}" name="Presentation &amp; Demonstration (30)"/>
    <tableColumn id="11" xr3:uid="{00000000-0010-0000-0000-00000B000000}" name="Viva / Technical Understanding (30)"/>
    <tableColumn id="12" xr3:uid="{00000000-0010-0000-0000-00000C000000}" name="Total Marks (100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RosterTable" displayName="StudentRosterTable" ref="A4:J52" totalsRowShown="0">
  <tableColumns count="10">
    <tableColumn id="1" xr3:uid="{00000000-0010-0000-0100-000001000000}" name="Group ID"/>
    <tableColumn id="2" xr3:uid="{00000000-0010-0000-0100-000002000000}" name="Department(s)"/>
    <tableColumn id="3" xr3:uid="{00000000-0010-0000-0100-000003000000}" name="Semester"/>
    <tableColumn id="4" xr3:uid="{00000000-0010-0000-0100-000004000000}" name="Project Technology"/>
    <tableColumn id="5" xr3:uid="{00000000-0010-0000-0100-000005000000}" name="Project Title"/>
    <tableColumn id="6" xr3:uid="{00000000-0010-0000-0100-000006000000}" name="Member No."/>
    <tableColumn id="7" xr3:uid="{00000000-0010-0000-0100-000007000000}" name="University Roll Number"/>
    <tableColumn id="8" xr3:uid="{00000000-0010-0000-0100-000008000000}" name="Student Name"/>
    <tableColumn id="9" xr3:uid="{00000000-0010-0000-0100-000009000000}" name="Email ID"/>
    <tableColumn id="10" xr3:uid="{00000000-0010-0000-0100-00000A000000}" name="Contact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iginalDataTable" displayName="OriginalDataTable" ref="A4:AB16" totalsRowShown="0">
  <tableColumns count="28">
    <tableColumn id="1" xr3:uid="{00000000-0010-0000-0200-000001000000}" name="Enter Department"/>
    <tableColumn id="2" xr3:uid="{00000000-0010-0000-0200-000002000000}" name="Enter Semester number"/>
    <tableColumn id="3" xr3:uid="{00000000-0010-0000-0200-000003000000}" name="Enter Technology of your Project"/>
    <tableColumn id="4" xr3:uid="{00000000-0010-0000-0200-000004000000}" name="Enter Selected Project Title"/>
    <tableColumn id="5" xr3:uid="{00000000-0010-0000-0200-000005000000}" name="Enter University Roll Number"/>
    <tableColumn id="6" xr3:uid="{00000000-0010-0000-0200-000006000000}" name="Enter Name"/>
    <tableColumn id="7" xr3:uid="{00000000-0010-0000-0200-000007000000}" name="Enter Email ID"/>
    <tableColumn id="8" xr3:uid="{00000000-0010-0000-0200-000008000000}" name="Enter Contact Number"/>
    <tableColumn id="9" xr3:uid="{00000000-0010-0000-0200-000009000000}" name="Enter University Roll Number2"/>
    <tableColumn id="10" xr3:uid="{00000000-0010-0000-0200-00000A000000}" name="Enter Name2"/>
    <tableColumn id="11" xr3:uid="{00000000-0010-0000-0200-00000B000000}" name="Enter Email ID2"/>
    <tableColumn id="12" xr3:uid="{00000000-0010-0000-0200-00000C000000}" name="Enter Contact Number2"/>
    <tableColumn id="13" xr3:uid="{00000000-0010-0000-0200-00000D000000}" name="Enter University Roll Number3"/>
    <tableColumn id="14" xr3:uid="{00000000-0010-0000-0200-00000E000000}" name="Enter Name3"/>
    <tableColumn id="15" xr3:uid="{00000000-0010-0000-0200-00000F000000}" name="Enter Email ID3"/>
    <tableColumn id="16" xr3:uid="{00000000-0010-0000-0200-000010000000}" name="Enter Contact Number3"/>
    <tableColumn id="17" xr3:uid="{00000000-0010-0000-0200-000011000000}" name="Enter University Roll Number4"/>
    <tableColumn id="18" xr3:uid="{00000000-0010-0000-0200-000012000000}" name="Enter Name4"/>
    <tableColumn id="19" xr3:uid="{00000000-0010-0000-0200-000013000000}" name="Enter Email ID4"/>
    <tableColumn id="20" xr3:uid="{00000000-0010-0000-0200-000014000000}" name="Enter Contact Number4"/>
    <tableColumn id="21" xr3:uid="{00000000-0010-0000-0200-000015000000}" name="Enter University Roll Number5"/>
    <tableColumn id="22" xr3:uid="{00000000-0010-0000-0200-000016000000}" name="Enter Name5"/>
    <tableColumn id="23" xr3:uid="{00000000-0010-0000-0200-000017000000}" name="Enter Email ID5"/>
    <tableColumn id="24" xr3:uid="{00000000-0010-0000-0200-000018000000}" name="Enter Contact Number5"/>
    <tableColumn id="25" xr3:uid="{00000000-0010-0000-0200-000019000000}" name="Enter University Roll Number6"/>
    <tableColumn id="26" xr3:uid="{00000000-0010-0000-0200-00001A000000}" name="Enter Name6"/>
    <tableColumn id="27" xr3:uid="{00000000-0010-0000-0200-00001B000000}" name="Enter Email ID6"/>
    <tableColumn id="28" xr3:uid="{00000000-0010-0000-0200-00001C000000}" name="Enter Contact Number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sqref="A1:L1"/>
    </sheetView>
  </sheetViews>
  <sheetFormatPr defaultRowHeight="13.8"/>
  <cols>
    <col min="1" max="1" width="11" customWidth="1"/>
    <col min="2" max="2" width="20" customWidth="1"/>
    <col min="3" max="3" width="8.296875" bestFit="1" customWidth="1"/>
    <col min="4" max="4" width="16.19921875" bestFit="1" customWidth="1"/>
    <col min="5" max="5" width="42" customWidth="1"/>
    <col min="6" max="6" width="13" customWidth="1"/>
    <col min="7" max="7" width="25" customWidth="1"/>
    <col min="8" max="8" width="23" customWidth="1"/>
    <col min="9" max="11" width="18" customWidth="1"/>
    <col min="12" max="12" width="15" customWidth="1"/>
  </cols>
  <sheetData>
    <row r="1" spans="1:12" ht="22.8">
      <c r="A1" s="14" t="s">
        <v>316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27.6">
      <c r="A4" s="2" t="s">
        <v>2</v>
      </c>
      <c r="B4" s="3">
        <f>COUNTA(A7:A18)</f>
        <v>12</v>
      </c>
      <c r="D4" s="2" t="s">
        <v>3</v>
      </c>
      <c r="E4" s="3">
        <f>SUM(F7:F18)</f>
        <v>0</v>
      </c>
      <c r="G4" s="2" t="s">
        <v>4</v>
      </c>
      <c r="H4" s="3">
        <f>COUNT(L7:L18)</f>
        <v>0</v>
      </c>
      <c r="J4" s="2" t="s">
        <v>5</v>
      </c>
      <c r="K4" s="3" t="str">
        <f>IFERROR(AVERAGE(L7:L18),"")</f>
        <v/>
      </c>
    </row>
    <row r="6" spans="1:12" ht="26.4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</row>
    <row r="7" spans="1:12" ht="27.6">
      <c r="A7" s="6" t="s">
        <v>304</v>
      </c>
      <c r="B7" s="4" t="s">
        <v>19</v>
      </c>
      <c r="C7" s="6" t="s">
        <v>20</v>
      </c>
      <c r="D7" s="4" t="s">
        <v>21</v>
      </c>
      <c r="E7" s="4" t="s">
        <v>22</v>
      </c>
      <c r="F7" s="6">
        <f>COUNTIF('Student Roster'!$A$5:$A$52,A7)</f>
        <v>0</v>
      </c>
      <c r="G7" s="4" t="s">
        <v>23</v>
      </c>
      <c r="H7" s="4" t="s">
        <v>24</v>
      </c>
      <c r="I7" s="7"/>
      <c r="J7" s="10"/>
      <c r="K7" s="11"/>
      <c r="L7" s="8" t="str">
        <f t="shared" ref="L7:L18" si="0">IF(COUNT(I7:K7)&lt;3,"",SUM(I7:K7))</f>
        <v/>
      </c>
    </row>
    <row r="8" spans="1:12" ht="41.4">
      <c r="A8" s="6" t="s">
        <v>305</v>
      </c>
      <c r="B8" s="4" t="s">
        <v>19</v>
      </c>
      <c r="C8" s="6" t="s">
        <v>20</v>
      </c>
      <c r="D8" s="4" t="s">
        <v>21</v>
      </c>
      <c r="E8" s="4" t="s">
        <v>26</v>
      </c>
      <c r="F8" s="6">
        <f>COUNTIF('Student Roster'!$A$5:$A$52,A8)</f>
        <v>0</v>
      </c>
      <c r="G8" s="4" t="s">
        <v>27</v>
      </c>
      <c r="H8" s="4" t="s">
        <v>28</v>
      </c>
      <c r="I8" s="7"/>
      <c r="J8" s="10"/>
      <c r="K8" s="11"/>
      <c r="L8" s="8" t="str">
        <f t="shared" si="0"/>
        <v/>
      </c>
    </row>
    <row r="9" spans="1:12" ht="69">
      <c r="A9" s="6" t="s">
        <v>306</v>
      </c>
      <c r="B9" s="4" t="s">
        <v>30</v>
      </c>
      <c r="C9" s="6" t="s">
        <v>20</v>
      </c>
      <c r="D9" s="4" t="s">
        <v>21</v>
      </c>
      <c r="E9" s="4" t="s">
        <v>31</v>
      </c>
      <c r="F9" s="6">
        <f>COUNTIF('Student Roster'!$A$5:$A$52,A9)</f>
        <v>0</v>
      </c>
      <c r="G9" s="4" t="s">
        <v>32</v>
      </c>
      <c r="H9" s="4" t="s">
        <v>33</v>
      </c>
      <c r="I9" s="7"/>
      <c r="J9" s="10"/>
      <c r="K9" s="11"/>
      <c r="L9" s="8" t="str">
        <f t="shared" si="0"/>
        <v/>
      </c>
    </row>
    <row r="10" spans="1:12" ht="41.4">
      <c r="A10" s="6" t="s">
        <v>307</v>
      </c>
      <c r="B10" s="4" t="s">
        <v>35</v>
      </c>
      <c r="C10" s="6" t="s">
        <v>20</v>
      </c>
      <c r="D10" s="4" t="s">
        <v>21</v>
      </c>
      <c r="E10" s="4" t="s">
        <v>36</v>
      </c>
      <c r="F10" s="6">
        <f>COUNTIF('Student Roster'!$A$5:$A$52,A10)</f>
        <v>0</v>
      </c>
      <c r="G10" s="4" t="s">
        <v>37</v>
      </c>
      <c r="H10" s="4" t="s">
        <v>38</v>
      </c>
      <c r="I10" s="7"/>
      <c r="J10" s="10"/>
      <c r="K10" s="11"/>
      <c r="L10" s="8" t="str">
        <f t="shared" si="0"/>
        <v/>
      </c>
    </row>
    <row r="11" spans="1:12" ht="69">
      <c r="A11" s="6" t="s">
        <v>308</v>
      </c>
      <c r="B11" s="4" t="s">
        <v>40</v>
      </c>
      <c r="C11" s="6" t="s">
        <v>20</v>
      </c>
      <c r="D11" s="4" t="s">
        <v>21</v>
      </c>
      <c r="E11" s="4" t="s">
        <v>41</v>
      </c>
      <c r="F11" s="6">
        <f>COUNTIF('Student Roster'!$A$5:$A$52,A11)</f>
        <v>0</v>
      </c>
      <c r="G11" s="4" t="s">
        <v>42</v>
      </c>
      <c r="H11" s="4" t="s">
        <v>43</v>
      </c>
      <c r="I11" s="7"/>
      <c r="J11" s="10"/>
      <c r="K11" s="11"/>
      <c r="L11" s="8" t="str">
        <f t="shared" si="0"/>
        <v/>
      </c>
    </row>
    <row r="12" spans="1:12" ht="69">
      <c r="A12" s="6" t="s">
        <v>309</v>
      </c>
      <c r="B12" s="4" t="s">
        <v>40</v>
      </c>
      <c r="C12" s="6" t="s">
        <v>20</v>
      </c>
      <c r="D12" s="4" t="s">
        <v>21</v>
      </c>
      <c r="E12" s="4" t="s">
        <v>45</v>
      </c>
      <c r="F12" s="6">
        <f>COUNTIF('Student Roster'!$A$5:$A$52,A12)</f>
        <v>0</v>
      </c>
      <c r="G12" s="4" t="s">
        <v>46</v>
      </c>
      <c r="H12" s="4" t="s">
        <v>47</v>
      </c>
      <c r="I12" s="7"/>
      <c r="J12" s="10"/>
      <c r="K12" s="11"/>
      <c r="L12" s="8" t="str">
        <f t="shared" si="0"/>
        <v/>
      </c>
    </row>
    <row r="13" spans="1:12" ht="55.2">
      <c r="A13" s="6" t="s">
        <v>310</v>
      </c>
      <c r="B13" s="4" t="s">
        <v>19</v>
      </c>
      <c r="C13" s="6" t="s">
        <v>20</v>
      </c>
      <c r="D13" s="4" t="s">
        <v>21</v>
      </c>
      <c r="E13" s="4" t="s">
        <v>49</v>
      </c>
      <c r="F13" s="6">
        <f>COUNTIF('Student Roster'!$A$5:$A$52,A13)</f>
        <v>0</v>
      </c>
      <c r="G13" s="4" t="s">
        <v>50</v>
      </c>
      <c r="H13" s="4" t="s">
        <v>51</v>
      </c>
      <c r="I13" s="7"/>
      <c r="J13" s="10"/>
      <c r="K13" s="11"/>
      <c r="L13" s="8" t="str">
        <f t="shared" si="0"/>
        <v/>
      </c>
    </row>
    <row r="14" spans="1:12" ht="55.2">
      <c r="A14" s="6" t="s">
        <v>311</v>
      </c>
      <c r="B14" s="4" t="s">
        <v>40</v>
      </c>
      <c r="C14" s="6" t="s">
        <v>20</v>
      </c>
      <c r="D14" s="4" t="s">
        <v>21</v>
      </c>
      <c r="E14" s="4" t="s">
        <v>53</v>
      </c>
      <c r="F14" s="6">
        <f>COUNTIF('Student Roster'!$A$5:$A$52,A14)</f>
        <v>0</v>
      </c>
      <c r="G14" s="4" t="s">
        <v>54</v>
      </c>
      <c r="H14" s="4" t="s">
        <v>55</v>
      </c>
      <c r="I14" s="7"/>
      <c r="J14" s="10"/>
      <c r="K14" s="11"/>
      <c r="L14" s="8" t="str">
        <f t="shared" si="0"/>
        <v/>
      </c>
    </row>
    <row r="15" spans="1:12">
      <c r="A15" s="6" t="s">
        <v>312</v>
      </c>
      <c r="B15" s="4" t="s">
        <v>40</v>
      </c>
      <c r="C15" s="6" t="s">
        <v>20</v>
      </c>
      <c r="D15" s="4" t="s">
        <v>21</v>
      </c>
      <c r="E15" s="4" t="s">
        <v>57</v>
      </c>
      <c r="F15" s="6">
        <f>COUNTIF('Student Roster'!$A$5:$A$52,A15)</f>
        <v>0</v>
      </c>
      <c r="G15" s="4" t="s">
        <v>58</v>
      </c>
      <c r="H15" s="4" t="s">
        <v>59</v>
      </c>
      <c r="I15" s="7"/>
      <c r="J15" s="10"/>
      <c r="K15" s="11"/>
      <c r="L15" s="8" t="str">
        <f t="shared" si="0"/>
        <v/>
      </c>
    </row>
    <row r="16" spans="1:12" ht="69">
      <c r="A16" s="6" t="s">
        <v>313</v>
      </c>
      <c r="B16" s="4" t="s">
        <v>61</v>
      </c>
      <c r="C16" s="6" t="s">
        <v>20</v>
      </c>
      <c r="D16" s="4" t="s">
        <v>21</v>
      </c>
      <c r="E16" s="4" t="s">
        <v>62</v>
      </c>
      <c r="F16" s="6">
        <f>COUNTIF('Student Roster'!$A$5:$A$52,A16)</f>
        <v>0</v>
      </c>
      <c r="G16" s="4" t="s">
        <v>63</v>
      </c>
      <c r="H16" s="4" t="s">
        <v>64</v>
      </c>
      <c r="I16" s="7"/>
      <c r="J16" s="10"/>
      <c r="K16" s="11"/>
      <c r="L16" s="8" t="str">
        <f t="shared" si="0"/>
        <v/>
      </c>
    </row>
    <row r="17" spans="1:12" ht="82.8">
      <c r="A17" s="6" t="s">
        <v>314</v>
      </c>
      <c r="B17" s="4" t="s">
        <v>19</v>
      </c>
      <c r="C17" s="6" t="s">
        <v>20</v>
      </c>
      <c r="D17" s="4" t="s">
        <v>21</v>
      </c>
      <c r="E17" s="4" t="s">
        <v>66</v>
      </c>
      <c r="F17" s="6">
        <f>COUNTIF('Student Roster'!$A$5:$A$52,A17)</f>
        <v>0</v>
      </c>
      <c r="G17" s="4" t="s">
        <v>67</v>
      </c>
      <c r="H17" s="4" t="s">
        <v>68</v>
      </c>
      <c r="I17" s="7"/>
      <c r="J17" s="10"/>
      <c r="K17" s="11"/>
      <c r="L17" s="8" t="str">
        <f t="shared" si="0"/>
        <v/>
      </c>
    </row>
    <row r="18" spans="1:12" ht="69">
      <c r="A18" s="6" t="s">
        <v>315</v>
      </c>
      <c r="B18" s="4" t="s">
        <v>40</v>
      </c>
      <c r="C18" s="6" t="s">
        <v>20</v>
      </c>
      <c r="D18" s="4" t="s">
        <v>21</v>
      </c>
      <c r="E18" s="4" t="s">
        <v>70</v>
      </c>
      <c r="F18" s="6">
        <f>COUNTIF('Student Roster'!$A$5:$A$52,A18)</f>
        <v>0</v>
      </c>
      <c r="G18" s="4" t="s">
        <v>71</v>
      </c>
      <c r="H18" s="4" t="s">
        <v>72</v>
      </c>
      <c r="I18" s="7"/>
      <c r="J18" s="10"/>
      <c r="K18" s="11"/>
      <c r="L18" s="8" t="str">
        <f t="shared" si="0"/>
        <v/>
      </c>
    </row>
  </sheetData>
  <mergeCells count="3">
    <mergeCell ref="A1:L1"/>
    <mergeCell ref="A2:L2"/>
    <mergeCell ref="A3:L3"/>
  </mergeCells>
  <conditionalFormatting sqref="L7:L18">
    <cfRule type="expression" dxfId="2" priority="1">
      <formula>AND(ISNUMBER(L7),L7&lt;50)</formula>
    </cfRule>
    <cfRule type="expression" dxfId="1" priority="2">
      <formula>AND(ISNUMBER(L7),L7&gt;=50,L7&lt;70)</formula>
    </cfRule>
    <cfRule type="expression" dxfId="0" priority="3">
      <formula>AND(ISNUMBER(L7),L7&gt;=70)</formula>
    </cfRule>
  </conditionalFormatting>
  <dataValidations count="3">
    <dataValidation type="whole" allowBlank="1" showErrorMessage="1" errorTitle="Invalid Project Marks" error="Enter a whole number from 0 to 40." sqref="I7:I18" xr:uid="{00000000-0002-0000-0000-000000000000}">
      <formula1>0</formula1>
      <formula2>40</formula2>
    </dataValidation>
    <dataValidation type="whole" allowBlank="1" showErrorMessage="1" errorTitle="Invalid Presentation Marks" error="Enter a whole number from 0 to 30." sqref="J7:J18" xr:uid="{00000000-0002-0000-0000-000001000000}">
      <formula1>0</formula1>
      <formula2>30</formula2>
    </dataValidation>
    <dataValidation type="whole" allowBlank="1" showErrorMessage="1" errorTitle="Invalid Viva Marks" error="Enter a whole number from 0 to 30." sqref="K7:K18" xr:uid="{00000000-0002-0000-0000-000002000000}">
      <formula1>0</formula1>
      <formula2>30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workbookViewId="0"/>
  </sheetViews>
  <sheetFormatPr defaultRowHeight="13.8"/>
  <cols>
    <col min="1" max="1" width="11" customWidth="1"/>
    <col min="2" max="2" width="20" customWidth="1"/>
    <col min="3" max="3" width="11" customWidth="1"/>
    <col min="4" max="4" width="20" customWidth="1"/>
    <col min="5" max="5" width="42" customWidth="1"/>
    <col min="6" max="6" width="11" customWidth="1"/>
    <col min="7" max="7" width="20" customWidth="1"/>
    <col min="8" max="8" width="24" customWidth="1"/>
    <col min="9" max="9" width="32" customWidth="1"/>
    <col min="10" max="10" width="17" customWidth="1"/>
  </cols>
  <sheetData>
    <row r="1" spans="1:10" ht="24" customHeight="1">
      <c r="A1" s="14" t="s">
        <v>73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5.65" customHeight="1">
      <c r="A2" s="15" t="s">
        <v>74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3.6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</row>
    <row r="5" spans="1:10" ht="27.6">
      <c r="A5" s="9" t="s">
        <v>18</v>
      </c>
      <c r="B5" s="5" t="s">
        <v>19</v>
      </c>
      <c r="C5" s="9" t="s">
        <v>20</v>
      </c>
      <c r="D5" s="5" t="s">
        <v>21</v>
      </c>
      <c r="E5" s="5" t="s">
        <v>22</v>
      </c>
      <c r="F5" s="9">
        <v>1</v>
      </c>
      <c r="G5" s="12" t="s">
        <v>80</v>
      </c>
      <c r="H5" s="5" t="s">
        <v>81</v>
      </c>
      <c r="I5" s="5" t="s">
        <v>82</v>
      </c>
      <c r="J5" s="13" t="s">
        <v>83</v>
      </c>
    </row>
    <row r="6" spans="1:10" ht="27.6">
      <c r="A6" s="9" t="s">
        <v>18</v>
      </c>
      <c r="B6" s="5" t="s">
        <v>19</v>
      </c>
      <c r="C6" s="9" t="s">
        <v>20</v>
      </c>
      <c r="D6" s="5" t="s">
        <v>21</v>
      </c>
      <c r="E6" s="5" t="s">
        <v>22</v>
      </c>
      <c r="F6" s="9">
        <v>2</v>
      </c>
      <c r="G6" s="12" t="s">
        <v>84</v>
      </c>
      <c r="H6" s="5" t="s">
        <v>85</v>
      </c>
      <c r="I6" s="5" t="s">
        <v>86</v>
      </c>
      <c r="J6" s="13" t="s">
        <v>87</v>
      </c>
    </row>
    <row r="7" spans="1:10" ht="27.6">
      <c r="A7" s="9" t="s">
        <v>25</v>
      </c>
      <c r="B7" s="5" t="s">
        <v>19</v>
      </c>
      <c r="C7" s="9" t="s">
        <v>20</v>
      </c>
      <c r="D7" s="5" t="s">
        <v>21</v>
      </c>
      <c r="E7" s="5" t="s">
        <v>26</v>
      </c>
      <c r="F7" s="9">
        <v>1</v>
      </c>
      <c r="G7" s="12" t="s">
        <v>88</v>
      </c>
      <c r="H7" s="5" t="s">
        <v>89</v>
      </c>
      <c r="I7" s="5" t="s">
        <v>90</v>
      </c>
      <c r="J7" s="13" t="s">
        <v>91</v>
      </c>
    </row>
    <row r="8" spans="1:10" ht="27.6">
      <c r="A8" s="9" t="s">
        <v>25</v>
      </c>
      <c r="B8" s="5" t="s">
        <v>19</v>
      </c>
      <c r="C8" s="9" t="s">
        <v>20</v>
      </c>
      <c r="D8" s="5" t="s">
        <v>21</v>
      </c>
      <c r="E8" s="5" t="s">
        <v>26</v>
      </c>
      <c r="F8" s="9">
        <v>2</v>
      </c>
      <c r="G8" s="12" t="s">
        <v>92</v>
      </c>
      <c r="H8" s="5" t="s">
        <v>93</v>
      </c>
      <c r="I8" s="5" t="s">
        <v>94</v>
      </c>
      <c r="J8" s="13" t="s">
        <v>95</v>
      </c>
    </row>
    <row r="9" spans="1:10" ht="27.6">
      <c r="A9" s="9" t="s">
        <v>25</v>
      </c>
      <c r="B9" s="5" t="s">
        <v>19</v>
      </c>
      <c r="C9" s="9" t="s">
        <v>20</v>
      </c>
      <c r="D9" s="5" t="s">
        <v>21</v>
      </c>
      <c r="E9" s="5" t="s">
        <v>26</v>
      </c>
      <c r="F9" s="9">
        <v>3</v>
      </c>
      <c r="G9" s="12" t="s">
        <v>96</v>
      </c>
      <c r="H9" s="5" t="s">
        <v>97</v>
      </c>
      <c r="I9" s="5" t="s">
        <v>98</v>
      </c>
      <c r="J9" s="13" t="s">
        <v>99</v>
      </c>
    </row>
    <row r="10" spans="1:10" ht="27.6">
      <c r="A10" s="9" t="s">
        <v>29</v>
      </c>
      <c r="B10" s="5" t="s">
        <v>30</v>
      </c>
      <c r="C10" s="9" t="s">
        <v>20</v>
      </c>
      <c r="D10" s="5" t="s">
        <v>21</v>
      </c>
      <c r="E10" s="5" t="s">
        <v>31</v>
      </c>
      <c r="F10" s="9">
        <v>1</v>
      </c>
      <c r="G10" s="12" t="s">
        <v>100</v>
      </c>
      <c r="H10" s="5" t="s">
        <v>101</v>
      </c>
      <c r="I10" s="5" t="s">
        <v>102</v>
      </c>
      <c r="J10" s="13" t="s">
        <v>103</v>
      </c>
    </row>
    <row r="11" spans="1:10" ht="27.6">
      <c r="A11" s="9" t="s">
        <v>29</v>
      </c>
      <c r="B11" s="5" t="s">
        <v>30</v>
      </c>
      <c r="C11" s="9" t="s">
        <v>20</v>
      </c>
      <c r="D11" s="5" t="s">
        <v>21</v>
      </c>
      <c r="E11" s="5" t="s">
        <v>31</v>
      </c>
      <c r="F11" s="9">
        <v>2</v>
      </c>
      <c r="G11" s="12" t="s">
        <v>104</v>
      </c>
      <c r="H11" s="5" t="s">
        <v>105</v>
      </c>
      <c r="I11" s="5" t="s">
        <v>106</v>
      </c>
      <c r="J11" s="13" t="s">
        <v>107</v>
      </c>
    </row>
    <row r="12" spans="1:10" ht="27.6">
      <c r="A12" s="9" t="s">
        <v>29</v>
      </c>
      <c r="B12" s="5" t="s">
        <v>30</v>
      </c>
      <c r="C12" s="9" t="s">
        <v>20</v>
      </c>
      <c r="D12" s="5" t="s">
        <v>21</v>
      </c>
      <c r="E12" s="5" t="s">
        <v>31</v>
      </c>
      <c r="F12" s="9">
        <v>3</v>
      </c>
      <c r="G12" s="12" t="s">
        <v>108</v>
      </c>
      <c r="H12" s="5" t="s">
        <v>109</v>
      </c>
      <c r="I12" s="5" t="s">
        <v>110</v>
      </c>
      <c r="J12" s="13" t="s">
        <v>111</v>
      </c>
    </row>
    <row r="13" spans="1:10" ht="27.6">
      <c r="A13" s="9" t="s">
        <v>29</v>
      </c>
      <c r="B13" s="5" t="s">
        <v>30</v>
      </c>
      <c r="C13" s="9" t="s">
        <v>20</v>
      </c>
      <c r="D13" s="5" t="s">
        <v>21</v>
      </c>
      <c r="E13" s="5" t="s">
        <v>31</v>
      </c>
      <c r="F13" s="9">
        <v>4</v>
      </c>
      <c r="G13" s="12" t="s">
        <v>112</v>
      </c>
      <c r="H13" s="5" t="s">
        <v>113</v>
      </c>
      <c r="I13" s="5" t="s">
        <v>114</v>
      </c>
      <c r="J13" s="13" t="s">
        <v>115</v>
      </c>
    </row>
    <row r="14" spans="1:10" ht="27.6">
      <c r="A14" s="9" t="s">
        <v>29</v>
      </c>
      <c r="B14" s="5" t="s">
        <v>30</v>
      </c>
      <c r="C14" s="9" t="s">
        <v>20</v>
      </c>
      <c r="D14" s="5" t="s">
        <v>21</v>
      </c>
      <c r="E14" s="5" t="s">
        <v>31</v>
      </c>
      <c r="F14" s="9">
        <v>5</v>
      </c>
      <c r="G14" s="12" t="s">
        <v>116</v>
      </c>
      <c r="H14" s="5" t="s">
        <v>117</v>
      </c>
      <c r="I14" s="5" t="s">
        <v>118</v>
      </c>
      <c r="J14" s="13" t="s">
        <v>119</v>
      </c>
    </row>
    <row r="15" spans="1:10" ht="27.6">
      <c r="A15" s="9" t="s">
        <v>34</v>
      </c>
      <c r="B15" s="5" t="s">
        <v>35</v>
      </c>
      <c r="C15" s="9" t="s">
        <v>20</v>
      </c>
      <c r="D15" s="5" t="s">
        <v>21</v>
      </c>
      <c r="E15" s="5" t="s">
        <v>36</v>
      </c>
      <c r="F15" s="9">
        <v>1</v>
      </c>
      <c r="G15" s="12" t="s">
        <v>120</v>
      </c>
      <c r="H15" s="5" t="s">
        <v>121</v>
      </c>
      <c r="I15" s="5" t="s">
        <v>122</v>
      </c>
      <c r="J15" s="13" t="s">
        <v>123</v>
      </c>
    </row>
    <row r="16" spans="1:10" ht="27.6">
      <c r="A16" s="9" t="s">
        <v>34</v>
      </c>
      <c r="B16" s="5" t="s">
        <v>35</v>
      </c>
      <c r="C16" s="9" t="s">
        <v>20</v>
      </c>
      <c r="D16" s="5" t="s">
        <v>21</v>
      </c>
      <c r="E16" s="5" t="s">
        <v>36</v>
      </c>
      <c r="F16" s="9">
        <v>2</v>
      </c>
      <c r="G16" s="12" t="s">
        <v>124</v>
      </c>
      <c r="H16" s="5" t="s">
        <v>125</v>
      </c>
      <c r="I16" s="5" t="s">
        <v>126</v>
      </c>
      <c r="J16" s="13" t="s">
        <v>127</v>
      </c>
    </row>
    <row r="17" spans="1:10" ht="27.6">
      <c r="A17" s="9" t="s">
        <v>34</v>
      </c>
      <c r="B17" s="5" t="s">
        <v>35</v>
      </c>
      <c r="C17" s="9" t="s">
        <v>20</v>
      </c>
      <c r="D17" s="5" t="s">
        <v>21</v>
      </c>
      <c r="E17" s="5" t="s">
        <v>36</v>
      </c>
      <c r="F17" s="9">
        <v>3</v>
      </c>
      <c r="G17" s="12" t="s">
        <v>128</v>
      </c>
      <c r="H17" s="5" t="s">
        <v>129</v>
      </c>
      <c r="I17" s="5" t="s">
        <v>130</v>
      </c>
      <c r="J17" s="13" t="s">
        <v>131</v>
      </c>
    </row>
    <row r="18" spans="1:10" ht="27.6">
      <c r="A18" s="9" t="s">
        <v>39</v>
      </c>
      <c r="B18" s="5" t="s">
        <v>40</v>
      </c>
      <c r="C18" s="9" t="s">
        <v>20</v>
      </c>
      <c r="D18" s="5" t="s">
        <v>21</v>
      </c>
      <c r="E18" s="5" t="s">
        <v>41</v>
      </c>
      <c r="F18" s="9">
        <v>1</v>
      </c>
      <c r="G18" s="12" t="s">
        <v>132</v>
      </c>
      <c r="H18" s="5" t="s">
        <v>133</v>
      </c>
      <c r="I18" s="5" t="s">
        <v>134</v>
      </c>
      <c r="J18" s="13" t="s">
        <v>135</v>
      </c>
    </row>
    <row r="19" spans="1:10" ht="27.6">
      <c r="A19" s="9" t="s">
        <v>39</v>
      </c>
      <c r="B19" s="5" t="s">
        <v>40</v>
      </c>
      <c r="C19" s="9" t="s">
        <v>20</v>
      </c>
      <c r="D19" s="5" t="s">
        <v>21</v>
      </c>
      <c r="E19" s="5" t="s">
        <v>41</v>
      </c>
      <c r="F19" s="9">
        <v>2</v>
      </c>
      <c r="G19" s="12" t="s">
        <v>136</v>
      </c>
      <c r="H19" s="5" t="s">
        <v>137</v>
      </c>
      <c r="I19" s="5" t="s">
        <v>138</v>
      </c>
      <c r="J19" s="13" t="s">
        <v>139</v>
      </c>
    </row>
    <row r="20" spans="1:10" ht="27.6">
      <c r="A20" s="9" t="s">
        <v>39</v>
      </c>
      <c r="B20" s="5" t="s">
        <v>40</v>
      </c>
      <c r="C20" s="9" t="s">
        <v>20</v>
      </c>
      <c r="D20" s="5" t="s">
        <v>21</v>
      </c>
      <c r="E20" s="5" t="s">
        <v>41</v>
      </c>
      <c r="F20" s="9">
        <v>3</v>
      </c>
      <c r="G20" s="12" t="s">
        <v>140</v>
      </c>
      <c r="H20" s="5" t="s">
        <v>141</v>
      </c>
      <c r="I20" s="5" t="s">
        <v>142</v>
      </c>
      <c r="J20" s="13" t="s">
        <v>143</v>
      </c>
    </row>
    <row r="21" spans="1:10" ht="27.6">
      <c r="A21" s="9" t="s">
        <v>39</v>
      </c>
      <c r="B21" s="5" t="s">
        <v>40</v>
      </c>
      <c r="C21" s="9" t="s">
        <v>20</v>
      </c>
      <c r="D21" s="5" t="s">
        <v>21</v>
      </c>
      <c r="E21" s="5" t="s">
        <v>41</v>
      </c>
      <c r="F21" s="9">
        <v>4</v>
      </c>
      <c r="G21" s="12" t="s">
        <v>144</v>
      </c>
      <c r="H21" s="5" t="s">
        <v>145</v>
      </c>
      <c r="I21" s="5" t="s">
        <v>146</v>
      </c>
      <c r="J21" s="13" t="s">
        <v>147</v>
      </c>
    </row>
    <row r="22" spans="1:10" ht="27.6">
      <c r="A22" s="9" t="s">
        <v>39</v>
      </c>
      <c r="B22" s="5" t="s">
        <v>40</v>
      </c>
      <c r="C22" s="9" t="s">
        <v>20</v>
      </c>
      <c r="D22" s="5" t="s">
        <v>21</v>
      </c>
      <c r="E22" s="5" t="s">
        <v>41</v>
      </c>
      <c r="F22" s="9">
        <v>5</v>
      </c>
      <c r="G22" s="12" t="s">
        <v>148</v>
      </c>
      <c r="H22" s="5" t="s">
        <v>149</v>
      </c>
      <c r="I22" s="5" t="s">
        <v>150</v>
      </c>
      <c r="J22" s="13" t="s">
        <v>151</v>
      </c>
    </row>
    <row r="23" spans="1:10" ht="27.6">
      <c r="A23" s="9" t="s">
        <v>44</v>
      </c>
      <c r="B23" s="5" t="s">
        <v>40</v>
      </c>
      <c r="C23" s="9" t="s">
        <v>20</v>
      </c>
      <c r="D23" s="5" t="s">
        <v>21</v>
      </c>
      <c r="E23" s="5" t="s">
        <v>45</v>
      </c>
      <c r="F23" s="9">
        <v>1</v>
      </c>
      <c r="G23" s="12" t="s">
        <v>152</v>
      </c>
      <c r="H23" s="5" t="s">
        <v>153</v>
      </c>
      <c r="I23" s="5" t="s">
        <v>154</v>
      </c>
      <c r="J23" s="13" t="s">
        <v>155</v>
      </c>
    </row>
    <row r="24" spans="1:10" ht="27.6">
      <c r="A24" s="9" t="s">
        <v>44</v>
      </c>
      <c r="B24" s="5" t="s">
        <v>40</v>
      </c>
      <c r="C24" s="9" t="s">
        <v>20</v>
      </c>
      <c r="D24" s="5" t="s">
        <v>21</v>
      </c>
      <c r="E24" s="5" t="s">
        <v>45</v>
      </c>
      <c r="F24" s="9">
        <v>2</v>
      </c>
      <c r="G24" s="12" t="s">
        <v>156</v>
      </c>
      <c r="H24" s="5" t="s">
        <v>157</v>
      </c>
      <c r="I24" s="5" t="s">
        <v>158</v>
      </c>
      <c r="J24" s="13" t="s">
        <v>159</v>
      </c>
    </row>
    <row r="25" spans="1:10" ht="27.6">
      <c r="A25" s="9" t="s">
        <v>44</v>
      </c>
      <c r="B25" s="5" t="s">
        <v>40</v>
      </c>
      <c r="C25" s="9" t="s">
        <v>20</v>
      </c>
      <c r="D25" s="5" t="s">
        <v>21</v>
      </c>
      <c r="E25" s="5" t="s">
        <v>45</v>
      </c>
      <c r="F25" s="9">
        <v>3</v>
      </c>
      <c r="G25" s="12" t="s">
        <v>160</v>
      </c>
      <c r="H25" s="5" t="s">
        <v>161</v>
      </c>
      <c r="I25" s="5" t="s">
        <v>162</v>
      </c>
      <c r="J25" s="13" t="s">
        <v>163</v>
      </c>
    </row>
    <row r="26" spans="1:10" ht="27.6">
      <c r="A26" s="9" t="s">
        <v>44</v>
      </c>
      <c r="B26" s="5" t="s">
        <v>40</v>
      </c>
      <c r="C26" s="9" t="s">
        <v>20</v>
      </c>
      <c r="D26" s="5" t="s">
        <v>21</v>
      </c>
      <c r="E26" s="5" t="s">
        <v>45</v>
      </c>
      <c r="F26" s="9">
        <v>4</v>
      </c>
      <c r="G26" s="12" t="s">
        <v>164</v>
      </c>
      <c r="H26" s="5" t="s">
        <v>165</v>
      </c>
      <c r="I26" s="5" t="s">
        <v>166</v>
      </c>
      <c r="J26" s="13" t="s">
        <v>167</v>
      </c>
    </row>
    <row r="27" spans="1:10" ht="27.6">
      <c r="A27" s="9" t="s">
        <v>44</v>
      </c>
      <c r="B27" s="5" t="s">
        <v>40</v>
      </c>
      <c r="C27" s="9" t="s">
        <v>20</v>
      </c>
      <c r="D27" s="5" t="s">
        <v>21</v>
      </c>
      <c r="E27" s="5" t="s">
        <v>45</v>
      </c>
      <c r="F27" s="9">
        <v>5</v>
      </c>
      <c r="G27" s="12" t="s">
        <v>168</v>
      </c>
      <c r="H27" s="5" t="s">
        <v>169</v>
      </c>
      <c r="I27" s="5" t="s">
        <v>170</v>
      </c>
      <c r="J27" s="13" t="s">
        <v>171</v>
      </c>
    </row>
    <row r="28" spans="1:10">
      <c r="A28" s="9" t="s">
        <v>48</v>
      </c>
      <c r="B28" s="5" t="s">
        <v>19</v>
      </c>
      <c r="C28" s="9" t="s">
        <v>20</v>
      </c>
      <c r="D28" s="5" t="s">
        <v>21</v>
      </c>
      <c r="E28" s="5" t="s">
        <v>49</v>
      </c>
      <c r="F28" s="9">
        <v>1</v>
      </c>
      <c r="G28" s="12" t="s">
        <v>172</v>
      </c>
      <c r="H28" s="5" t="s">
        <v>173</v>
      </c>
      <c r="I28" s="5" t="s">
        <v>174</v>
      </c>
      <c r="J28" s="13" t="s">
        <v>175</v>
      </c>
    </row>
    <row r="29" spans="1:10">
      <c r="A29" s="9" t="s">
        <v>48</v>
      </c>
      <c r="B29" s="5" t="s">
        <v>19</v>
      </c>
      <c r="C29" s="9" t="s">
        <v>20</v>
      </c>
      <c r="D29" s="5" t="s">
        <v>21</v>
      </c>
      <c r="E29" s="5" t="s">
        <v>49</v>
      </c>
      <c r="F29" s="9">
        <v>2</v>
      </c>
      <c r="G29" s="12" t="s">
        <v>176</v>
      </c>
      <c r="H29" s="5" t="s">
        <v>177</v>
      </c>
      <c r="I29" s="5" t="s">
        <v>178</v>
      </c>
      <c r="J29" s="13" t="s">
        <v>179</v>
      </c>
    </row>
    <row r="30" spans="1:10">
      <c r="A30" s="9" t="s">
        <v>48</v>
      </c>
      <c r="B30" s="5" t="s">
        <v>19</v>
      </c>
      <c r="C30" s="9" t="s">
        <v>20</v>
      </c>
      <c r="D30" s="5" t="s">
        <v>21</v>
      </c>
      <c r="E30" s="5" t="s">
        <v>49</v>
      </c>
      <c r="F30" s="9">
        <v>3</v>
      </c>
      <c r="G30" s="12" t="s">
        <v>180</v>
      </c>
      <c r="H30" s="5" t="s">
        <v>181</v>
      </c>
      <c r="I30" s="5" t="s">
        <v>182</v>
      </c>
      <c r="J30" s="13" t="s">
        <v>183</v>
      </c>
    </row>
    <row r="31" spans="1:10">
      <c r="A31" s="9" t="s">
        <v>48</v>
      </c>
      <c r="B31" s="5" t="s">
        <v>19</v>
      </c>
      <c r="C31" s="9" t="s">
        <v>20</v>
      </c>
      <c r="D31" s="5" t="s">
        <v>21</v>
      </c>
      <c r="E31" s="5" t="s">
        <v>49</v>
      </c>
      <c r="F31" s="9">
        <v>4</v>
      </c>
      <c r="G31" s="12" t="s">
        <v>184</v>
      </c>
      <c r="H31" s="5" t="s">
        <v>185</v>
      </c>
      <c r="I31" s="5" t="s">
        <v>186</v>
      </c>
      <c r="J31" s="13" t="s">
        <v>187</v>
      </c>
    </row>
    <row r="32" spans="1:10" ht="27.6">
      <c r="A32" s="9" t="s">
        <v>52</v>
      </c>
      <c r="B32" s="5" t="s">
        <v>40</v>
      </c>
      <c r="C32" s="9" t="s">
        <v>20</v>
      </c>
      <c r="D32" s="5" t="s">
        <v>21</v>
      </c>
      <c r="E32" s="5" t="s">
        <v>53</v>
      </c>
      <c r="F32" s="9">
        <v>1</v>
      </c>
      <c r="G32" s="12" t="s">
        <v>188</v>
      </c>
      <c r="H32" s="5" t="s">
        <v>189</v>
      </c>
      <c r="I32" s="5" t="s">
        <v>190</v>
      </c>
      <c r="J32" s="13" t="s">
        <v>191</v>
      </c>
    </row>
    <row r="33" spans="1:10" ht="27.6">
      <c r="A33" s="9" t="s">
        <v>52</v>
      </c>
      <c r="B33" s="5" t="s">
        <v>40</v>
      </c>
      <c r="C33" s="9" t="s">
        <v>20</v>
      </c>
      <c r="D33" s="5" t="s">
        <v>21</v>
      </c>
      <c r="E33" s="5" t="s">
        <v>53</v>
      </c>
      <c r="F33" s="9">
        <v>2</v>
      </c>
      <c r="G33" s="12" t="s">
        <v>192</v>
      </c>
      <c r="H33" s="5" t="s">
        <v>193</v>
      </c>
      <c r="I33" s="5" t="s">
        <v>194</v>
      </c>
      <c r="J33" s="13" t="s">
        <v>195</v>
      </c>
    </row>
    <row r="34" spans="1:10" ht="27.6">
      <c r="A34" s="9" t="s">
        <v>52</v>
      </c>
      <c r="B34" s="5" t="s">
        <v>40</v>
      </c>
      <c r="C34" s="9" t="s">
        <v>20</v>
      </c>
      <c r="D34" s="5" t="s">
        <v>21</v>
      </c>
      <c r="E34" s="5" t="s">
        <v>53</v>
      </c>
      <c r="F34" s="9">
        <v>3</v>
      </c>
      <c r="G34" s="12" t="s">
        <v>196</v>
      </c>
      <c r="H34" s="5" t="s">
        <v>197</v>
      </c>
      <c r="I34" s="5" t="s">
        <v>198</v>
      </c>
      <c r="J34" s="13" t="s">
        <v>199</v>
      </c>
    </row>
    <row r="35" spans="1:10" ht="27.6">
      <c r="A35" s="9" t="s">
        <v>52</v>
      </c>
      <c r="B35" s="5" t="s">
        <v>40</v>
      </c>
      <c r="C35" s="9" t="s">
        <v>20</v>
      </c>
      <c r="D35" s="5" t="s">
        <v>21</v>
      </c>
      <c r="E35" s="5" t="s">
        <v>53</v>
      </c>
      <c r="F35" s="9">
        <v>4</v>
      </c>
      <c r="G35" s="12" t="s">
        <v>200</v>
      </c>
      <c r="H35" s="5" t="s">
        <v>201</v>
      </c>
      <c r="I35" s="5" t="s">
        <v>202</v>
      </c>
      <c r="J35" s="13" t="s">
        <v>203</v>
      </c>
    </row>
    <row r="36" spans="1:10">
      <c r="A36" s="9" t="s">
        <v>56</v>
      </c>
      <c r="B36" s="5" t="s">
        <v>40</v>
      </c>
      <c r="C36" s="9" t="s">
        <v>20</v>
      </c>
      <c r="D36" s="5" t="s">
        <v>21</v>
      </c>
      <c r="E36" s="5" t="s">
        <v>57</v>
      </c>
      <c r="F36" s="9">
        <v>1</v>
      </c>
      <c r="G36" s="12" t="s">
        <v>204</v>
      </c>
      <c r="H36" s="5" t="s">
        <v>205</v>
      </c>
      <c r="I36" s="5" t="s">
        <v>206</v>
      </c>
      <c r="J36" s="13" t="s">
        <v>207</v>
      </c>
    </row>
    <row r="37" spans="1:10" ht="27.6">
      <c r="A37" s="9" t="s">
        <v>60</v>
      </c>
      <c r="B37" s="5" t="s">
        <v>61</v>
      </c>
      <c r="C37" s="9" t="s">
        <v>20</v>
      </c>
      <c r="D37" s="5" t="s">
        <v>21</v>
      </c>
      <c r="E37" s="5" t="s">
        <v>62</v>
      </c>
      <c r="F37" s="9">
        <v>1</v>
      </c>
      <c r="G37" s="12" t="s">
        <v>208</v>
      </c>
      <c r="H37" s="5" t="s">
        <v>209</v>
      </c>
      <c r="I37" s="5" t="s">
        <v>210</v>
      </c>
      <c r="J37" s="13" t="s">
        <v>211</v>
      </c>
    </row>
    <row r="38" spans="1:10" ht="27.6">
      <c r="A38" s="9" t="s">
        <v>60</v>
      </c>
      <c r="B38" s="5" t="s">
        <v>61</v>
      </c>
      <c r="C38" s="9" t="s">
        <v>20</v>
      </c>
      <c r="D38" s="5" t="s">
        <v>21</v>
      </c>
      <c r="E38" s="5" t="s">
        <v>62</v>
      </c>
      <c r="F38" s="9">
        <v>2</v>
      </c>
      <c r="G38" s="12" t="s">
        <v>212</v>
      </c>
      <c r="H38" s="5" t="s">
        <v>213</v>
      </c>
      <c r="I38" s="5" t="s">
        <v>214</v>
      </c>
      <c r="J38" s="13" t="s">
        <v>215</v>
      </c>
    </row>
    <row r="39" spans="1:10" ht="27.6">
      <c r="A39" s="9" t="s">
        <v>60</v>
      </c>
      <c r="B39" s="5" t="s">
        <v>61</v>
      </c>
      <c r="C39" s="9" t="s">
        <v>20</v>
      </c>
      <c r="D39" s="5" t="s">
        <v>21</v>
      </c>
      <c r="E39" s="5" t="s">
        <v>62</v>
      </c>
      <c r="F39" s="9">
        <v>3</v>
      </c>
      <c r="G39" s="12" t="s">
        <v>216</v>
      </c>
      <c r="H39" s="5" t="s">
        <v>217</v>
      </c>
      <c r="I39" s="5" t="s">
        <v>218</v>
      </c>
      <c r="J39" s="13" t="s">
        <v>219</v>
      </c>
    </row>
    <row r="40" spans="1:10" ht="27.6">
      <c r="A40" s="9" t="s">
        <v>60</v>
      </c>
      <c r="B40" s="5" t="s">
        <v>61</v>
      </c>
      <c r="C40" s="9" t="s">
        <v>20</v>
      </c>
      <c r="D40" s="5" t="s">
        <v>21</v>
      </c>
      <c r="E40" s="5" t="s">
        <v>62</v>
      </c>
      <c r="F40" s="9">
        <v>4</v>
      </c>
      <c r="G40" s="12" t="s">
        <v>220</v>
      </c>
      <c r="H40" s="5" t="s">
        <v>221</v>
      </c>
      <c r="I40" s="5" t="s">
        <v>222</v>
      </c>
      <c r="J40" s="13" t="s">
        <v>223</v>
      </c>
    </row>
    <row r="41" spans="1:10" ht="27.6">
      <c r="A41" s="9" t="s">
        <v>60</v>
      </c>
      <c r="B41" s="5" t="s">
        <v>61</v>
      </c>
      <c r="C41" s="9" t="s">
        <v>20</v>
      </c>
      <c r="D41" s="5" t="s">
        <v>21</v>
      </c>
      <c r="E41" s="5" t="s">
        <v>62</v>
      </c>
      <c r="F41" s="9">
        <v>5</v>
      </c>
      <c r="G41" s="12" t="s">
        <v>224</v>
      </c>
      <c r="H41" s="5" t="s">
        <v>225</v>
      </c>
      <c r="I41" s="5" t="s">
        <v>226</v>
      </c>
      <c r="J41" s="13" t="s">
        <v>227</v>
      </c>
    </row>
    <row r="42" spans="1:10" ht="27.6">
      <c r="A42" s="9" t="s">
        <v>65</v>
      </c>
      <c r="B42" s="5" t="s">
        <v>19</v>
      </c>
      <c r="C42" s="9" t="s">
        <v>20</v>
      </c>
      <c r="D42" s="5" t="s">
        <v>21</v>
      </c>
      <c r="E42" s="5" t="s">
        <v>66</v>
      </c>
      <c r="F42" s="9">
        <v>1</v>
      </c>
      <c r="G42" s="12" t="s">
        <v>228</v>
      </c>
      <c r="H42" s="5" t="s">
        <v>229</v>
      </c>
      <c r="I42" s="5" t="s">
        <v>230</v>
      </c>
      <c r="J42" s="13" t="s">
        <v>231</v>
      </c>
    </row>
    <row r="43" spans="1:10" ht="27.6">
      <c r="A43" s="9" t="s">
        <v>65</v>
      </c>
      <c r="B43" s="5" t="s">
        <v>19</v>
      </c>
      <c r="C43" s="9" t="s">
        <v>20</v>
      </c>
      <c r="D43" s="5" t="s">
        <v>21</v>
      </c>
      <c r="E43" s="5" t="s">
        <v>66</v>
      </c>
      <c r="F43" s="9">
        <v>2</v>
      </c>
      <c r="G43" s="12" t="s">
        <v>232</v>
      </c>
      <c r="H43" s="5" t="s">
        <v>233</v>
      </c>
      <c r="I43" s="5" t="s">
        <v>234</v>
      </c>
      <c r="J43" s="13" t="s">
        <v>235</v>
      </c>
    </row>
    <row r="44" spans="1:10" ht="27.6">
      <c r="A44" s="9" t="s">
        <v>65</v>
      </c>
      <c r="B44" s="5" t="s">
        <v>19</v>
      </c>
      <c r="C44" s="9" t="s">
        <v>20</v>
      </c>
      <c r="D44" s="5" t="s">
        <v>21</v>
      </c>
      <c r="E44" s="5" t="s">
        <v>66</v>
      </c>
      <c r="F44" s="9">
        <v>3</v>
      </c>
      <c r="G44" s="12" t="s">
        <v>236</v>
      </c>
      <c r="H44" s="5" t="s">
        <v>237</v>
      </c>
      <c r="I44" s="5" t="s">
        <v>238</v>
      </c>
      <c r="J44" s="13" t="s">
        <v>239</v>
      </c>
    </row>
    <row r="45" spans="1:10" ht="27.6">
      <c r="A45" s="9" t="s">
        <v>65</v>
      </c>
      <c r="B45" s="5" t="s">
        <v>19</v>
      </c>
      <c r="C45" s="9" t="s">
        <v>20</v>
      </c>
      <c r="D45" s="5" t="s">
        <v>21</v>
      </c>
      <c r="E45" s="5" t="s">
        <v>66</v>
      </c>
      <c r="F45" s="9">
        <v>4</v>
      </c>
      <c r="G45" s="12" t="s">
        <v>240</v>
      </c>
      <c r="H45" s="5" t="s">
        <v>241</v>
      </c>
      <c r="I45" s="5" t="s">
        <v>242</v>
      </c>
      <c r="J45" s="13" t="s">
        <v>243</v>
      </c>
    </row>
    <row r="46" spans="1:10" ht="27.6">
      <c r="A46" s="9" t="s">
        <v>65</v>
      </c>
      <c r="B46" s="5" t="s">
        <v>19</v>
      </c>
      <c r="C46" s="9" t="s">
        <v>20</v>
      </c>
      <c r="D46" s="5" t="s">
        <v>21</v>
      </c>
      <c r="E46" s="5" t="s">
        <v>66</v>
      </c>
      <c r="F46" s="9">
        <v>5</v>
      </c>
      <c r="G46" s="12" t="s">
        <v>244</v>
      </c>
      <c r="H46" s="5" t="s">
        <v>245</v>
      </c>
      <c r="I46" s="5" t="s">
        <v>246</v>
      </c>
      <c r="J46" s="13" t="s">
        <v>247</v>
      </c>
    </row>
    <row r="47" spans="1:10" ht="27.6">
      <c r="A47" s="9" t="s">
        <v>65</v>
      </c>
      <c r="B47" s="5" t="s">
        <v>19</v>
      </c>
      <c r="C47" s="9" t="s">
        <v>20</v>
      </c>
      <c r="D47" s="5" t="s">
        <v>21</v>
      </c>
      <c r="E47" s="5" t="s">
        <v>66</v>
      </c>
      <c r="F47" s="9">
        <v>6</v>
      </c>
      <c r="G47" s="12" t="s">
        <v>248</v>
      </c>
      <c r="H47" s="5" t="s">
        <v>249</v>
      </c>
      <c r="I47" s="5" t="s">
        <v>250</v>
      </c>
      <c r="J47" s="13" t="s">
        <v>251</v>
      </c>
    </row>
    <row r="48" spans="1:10" ht="27.6">
      <c r="A48" s="9" t="s">
        <v>69</v>
      </c>
      <c r="B48" s="5" t="s">
        <v>40</v>
      </c>
      <c r="C48" s="9" t="s">
        <v>20</v>
      </c>
      <c r="D48" s="5" t="s">
        <v>21</v>
      </c>
      <c r="E48" s="5" t="s">
        <v>70</v>
      </c>
      <c r="F48" s="9">
        <v>1</v>
      </c>
      <c r="G48" s="12" t="s">
        <v>252</v>
      </c>
      <c r="H48" s="5" t="s">
        <v>253</v>
      </c>
      <c r="I48" s="5" t="s">
        <v>254</v>
      </c>
      <c r="J48" s="13" t="s">
        <v>255</v>
      </c>
    </row>
    <row r="49" spans="1:10" ht="27.6">
      <c r="A49" s="9" t="s">
        <v>69</v>
      </c>
      <c r="B49" s="5" t="s">
        <v>40</v>
      </c>
      <c r="C49" s="9" t="s">
        <v>20</v>
      </c>
      <c r="D49" s="5" t="s">
        <v>21</v>
      </c>
      <c r="E49" s="5" t="s">
        <v>70</v>
      </c>
      <c r="F49" s="9">
        <v>2</v>
      </c>
      <c r="G49" s="12" t="s">
        <v>256</v>
      </c>
      <c r="H49" s="5" t="s">
        <v>257</v>
      </c>
      <c r="I49" s="5" t="s">
        <v>258</v>
      </c>
      <c r="J49" s="13" t="s">
        <v>259</v>
      </c>
    </row>
    <row r="50" spans="1:10" ht="27.6">
      <c r="A50" s="9" t="s">
        <v>69</v>
      </c>
      <c r="B50" s="5" t="s">
        <v>40</v>
      </c>
      <c r="C50" s="9" t="s">
        <v>20</v>
      </c>
      <c r="D50" s="5" t="s">
        <v>21</v>
      </c>
      <c r="E50" s="5" t="s">
        <v>70</v>
      </c>
      <c r="F50" s="9">
        <v>3</v>
      </c>
      <c r="G50" s="12" t="s">
        <v>260</v>
      </c>
      <c r="H50" s="5" t="s">
        <v>261</v>
      </c>
      <c r="I50" s="5" t="s">
        <v>262</v>
      </c>
      <c r="J50" s="13" t="s">
        <v>263</v>
      </c>
    </row>
    <row r="51" spans="1:10" ht="27.6">
      <c r="A51" s="9" t="s">
        <v>69</v>
      </c>
      <c r="B51" s="5" t="s">
        <v>40</v>
      </c>
      <c r="C51" s="9" t="s">
        <v>20</v>
      </c>
      <c r="D51" s="5" t="s">
        <v>21</v>
      </c>
      <c r="E51" s="5" t="s">
        <v>70</v>
      </c>
      <c r="F51" s="9">
        <v>4</v>
      </c>
      <c r="G51" s="12" t="s">
        <v>264</v>
      </c>
      <c r="H51" s="5" t="s">
        <v>265</v>
      </c>
      <c r="I51" s="5" t="s">
        <v>266</v>
      </c>
      <c r="J51" s="13" t="s">
        <v>267</v>
      </c>
    </row>
    <row r="52" spans="1:10" ht="27.6">
      <c r="A52" s="9" t="s">
        <v>69</v>
      </c>
      <c r="B52" s="5" t="s">
        <v>40</v>
      </c>
      <c r="C52" s="9" t="s">
        <v>20</v>
      </c>
      <c r="D52" s="5" t="s">
        <v>21</v>
      </c>
      <c r="E52" s="5" t="s">
        <v>70</v>
      </c>
      <c r="F52" s="9">
        <v>5</v>
      </c>
      <c r="G52" s="12" t="s">
        <v>268</v>
      </c>
      <c r="H52" s="5" t="s">
        <v>269</v>
      </c>
      <c r="I52" s="5" t="s">
        <v>270</v>
      </c>
      <c r="J52" s="13" t="s">
        <v>271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/>
  </sheetViews>
  <sheetFormatPr defaultRowHeight="13.8"/>
  <cols>
    <col min="1" max="1" width="20" customWidth="1"/>
    <col min="2" max="2" width="12" customWidth="1"/>
    <col min="3" max="3" width="20" customWidth="1"/>
    <col min="4" max="4" width="42" customWidth="1"/>
    <col min="5" max="5" width="19" customWidth="1"/>
    <col min="6" max="6" width="22" customWidth="1"/>
    <col min="7" max="7" width="30" customWidth="1"/>
    <col min="8" max="8" width="17" customWidth="1"/>
    <col min="9" max="9" width="19" customWidth="1"/>
    <col min="10" max="10" width="22" customWidth="1"/>
    <col min="11" max="11" width="30" customWidth="1"/>
    <col min="12" max="12" width="17" customWidth="1"/>
    <col min="13" max="13" width="19" customWidth="1"/>
    <col min="14" max="14" width="22" customWidth="1"/>
    <col min="15" max="15" width="30" customWidth="1"/>
    <col min="16" max="16" width="17" customWidth="1"/>
    <col min="17" max="17" width="19" customWidth="1"/>
    <col min="18" max="18" width="22" customWidth="1"/>
    <col min="19" max="19" width="30" customWidth="1"/>
    <col min="20" max="20" width="17" customWidth="1"/>
    <col min="21" max="21" width="19" customWidth="1"/>
    <col min="22" max="22" width="22" customWidth="1"/>
    <col min="23" max="23" width="30" customWidth="1"/>
    <col min="24" max="24" width="17" customWidth="1"/>
    <col min="25" max="25" width="19" customWidth="1"/>
    <col min="26" max="26" width="22" customWidth="1"/>
    <col min="27" max="27" width="30" customWidth="1"/>
    <col min="28" max="28" width="17" customWidth="1"/>
  </cols>
  <sheetData>
    <row r="1" spans="1:28" ht="24" customHeight="1">
      <c r="A1" s="14" t="s">
        <v>272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24" customHeight="1">
      <c r="A2" s="15" t="s">
        <v>273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4" spans="1:28" ht="33.6" customHeight="1">
      <c r="A4" s="1" t="s">
        <v>274</v>
      </c>
      <c r="B4" s="1" t="s">
        <v>275</v>
      </c>
      <c r="C4" s="1" t="s">
        <v>276</v>
      </c>
      <c r="D4" s="1" t="s">
        <v>277</v>
      </c>
      <c r="E4" s="1" t="s">
        <v>278</v>
      </c>
      <c r="F4" s="1" t="s">
        <v>279</v>
      </c>
      <c r="G4" s="1" t="s">
        <v>280</v>
      </c>
      <c r="H4" s="1" t="s">
        <v>281</v>
      </c>
      <c r="I4" s="1" t="s">
        <v>282</v>
      </c>
      <c r="J4" s="1" t="s">
        <v>283</v>
      </c>
      <c r="K4" s="1" t="s">
        <v>284</v>
      </c>
      <c r="L4" s="1" t="s">
        <v>285</v>
      </c>
      <c r="M4" s="1" t="s">
        <v>286</v>
      </c>
      <c r="N4" s="1" t="s">
        <v>287</v>
      </c>
      <c r="O4" s="1" t="s">
        <v>288</v>
      </c>
      <c r="P4" s="1" t="s">
        <v>289</v>
      </c>
      <c r="Q4" s="1" t="s">
        <v>290</v>
      </c>
      <c r="R4" s="1" t="s">
        <v>291</v>
      </c>
      <c r="S4" s="1" t="s">
        <v>292</v>
      </c>
      <c r="T4" s="1" t="s">
        <v>293</v>
      </c>
      <c r="U4" s="1" t="s">
        <v>294</v>
      </c>
      <c r="V4" s="1" t="s">
        <v>295</v>
      </c>
      <c r="W4" s="1" t="s">
        <v>296</v>
      </c>
      <c r="X4" s="1" t="s">
        <v>297</v>
      </c>
      <c r="Y4" s="1" t="s">
        <v>298</v>
      </c>
      <c r="Z4" s="1" t="s">
        <v>299</v>
      </c>
      <c r="AA4" s="1" t="s">
        <v>300</v>
      </c>
      <c r="AB4" s="1" t="s">
        <v>301</v>
      </c>
    </row>
    <row r="5" spans="1:28" ht="27.6">
      <c r="A5" s="5" t="s">
        <v>19</v>
      </c>
      <c r="B5" s="5" t="s">
        <v>20</v>
      </c>
      <c r="C5" s="5" t="s">
        <v>21</v>
      </c>
      <c r="D5" s="5" t="s">
        <v>22</v>
      </c>
      <c r="E5" s="13" t="s">
        <v>80</v>
      </c>
      <c r="F5" s="5" t="s">
        <v>81</v>
      </c>
      <c r="G5" s="5" t="s">
        <v>82</v>
      </c>
      <c r="H5" s="13" t="s">
        <v>83</v>
      </c>
      <c r="I5" s="13" t="s">
        <v>84</v>
      </c>
      <c r="J5" s="5" t="s">
        <v>85</v>
      </c>
      <c r="K5" s="5" t="s">
        <v>86</v>
      </c>
      <c r="L5" s="13" t="s">
        <v>87</v>
      </c>
      <c r="M5" s="13"/>
      <c r="N5" s="5"/>
      <c r="O5" s="5"/>
      <c r="P5" s="13"/>
      <c r="Q5" s="13"/>
      <c r="R5" s="5"/>
      <c r="S5" s="5"/>
      <c r="T5" s="13"/>
      <c r="U5" s="13"/>
      <c r="V5" s="5"/>
      <c r="W5" s="5"/>
      <c r="X5" s="13"/>
      <c r="Y5" s="13"/>
      <c r="Z5" s="5"/>
      <c r="AA5" s="5"/>
      <c r="AB5" s="13"/>
    </row>
    <row r="6" spans="1:28" ht="27.6">
      <c r="A6" s="5" t="s">
        <v>19</v>
      </c>
      <c r="B6" s="5" t="s">
        <v>20</v>
      </c>
      <c r="C6" s="5" t="s">
        <v>21</v>
      </c>
      <c r="D6" s="5" t="s">
        <v>26</v>
      </c>
      <c r="E6" s="13" t="s">
        <v>88</v>
      </c>
      <c r="F6" s="5" t="s">
        <v>89</v>
      </c>
      <c r="G6" s="5" t="s">
        <v>90</v>
      </c>
      <c r="H6" s="13" t="s">
        <v>91</v>
      </c>
      <c r="I6" s="13" t="s">
        <v>92</v>
      </c>
      <c r="J6" s="5" t="s">
        <v>93</v>
      </c>
      <c r="K6" s="5" t="s">
        <v>94</v>
      </c>
      <c r="L6" s="13" t="s">
        <v>95</v>
      </c>
      <c r="M6" s="13" t="s">
        <v>96</v>
      </c>
      <c r="N6" s="5" t="s">
        <v>97</v>
      </c>
      <c r="O6" s="5" t="s">
        <v>98</v>
      </c>
      <c r="P6" s="13" t="s">
        <v>99</v>
      </c>
      <c r="Q6" s="13"/>
      <c r="R6" s="5"/>
      <c r="S6" s="5"/>
      <c r="T6" s="13"/>
      <c r="U6" s="13"/>
      <c r="V6" s="5"/>
      <c r="W6" s="5"/>
      <c r="X6" s="13"/>
      <c r="Y6" s="13"/>
      <c r="Z6" s="5"/>
      <c r="AA6" s="5"/>
      <c r="AB6" s="13"/>
    </row>
    <row r="7" spans="1:28" ht="27.6">
      <c r="A7" s="5" t="s">
        <v>302</v>
      </c>
      <c r="B7" s="5" t="s">
        <v>20</v>
      </c>
      <c r="C7" s="5" t="s">
        <v>21</v>
      </c>
      <c r="D7" s="5" t="s">
        <v>31</v>
      </c>
      <c r="E7" s="13" t="s">
        <v>100</v>
      </c>
      <c r="F7" s="5" t="s">
        <v>101</v>
      </c>
      <c r="G7" s="5" t="s">
        <v>102</v>
      </c>
      <c r="H7" s="13" t="s">
        <v>103</v>
      </c>
      <c r="I7" s="13" t="s">
        <v>104</v>
      </c>
      <c r="J7" s="5" t="s">
        <v>105</v>
      </c>
      <c r="K7" s="5" t="s">
        <v>106</v>
      </c>
      <c r="L7" s="13" t="s">
        <v>107</v>
      </c>
      <c r="M7" s="13" t="s">
        <v>108</v>
      </c>
      <c r="N7" s="5" t="s">
        <v>109</v>
      </c>
      <c r="O7" s="5" t="s">
        <v>110</v>
      </c>
      <c r="P7" s="13" t="s">
        <v>111</v>
      </c>
      <c r="Q7" s="13" t="s">
        <v>112</v>
      </c>
      <c r="R7" s="5" t="s">
        <v>113</v>
      </c>
      <c r="S7" s="5" t="s">
        <v>114</v>
      </c>
      <c r="T7" s="13" t="s">
        <v>115</v>
      </c>
      <c r="U7" s="13" t="s">
        <v>116</v>
      </c>
      <c r="V7" s="5" t="s">
        <v>117</v>
      </c>
      <c r="W7" s="5" t="s">
        <v>118</v>
      </c>
      <c r="X7" s="13" t="s">
        <v>119</v>
      </c>
      <c r="Y7" s="13"/>
      <c r="Z7" s="5"/>
      <c r="AA7" s="5"/>
      <c r="AB7" s="13"/>
    </row>
    <row r="8" spans="1:28" ht="27.6">
      <c r="A8" s="5" t="s">
        <v>303</v>
      </c>
      <c r="B8" s="5" t="s">
        <v>20</v>
      </c>
      <c r="C8" s="5" t="s">
        <v>21</v>
      </c>
      <c r="D8" s="5" t="s">
        <v>36</v>
      </c>
      <c r="E8" s="13" t="s">
        <v>120</v>
      </c>
      <c r="F8" s="5" t="s">
        <v>121</v>
      </c>
      <c r="G8" s="5" t="s">
        <v>122</v>
      </c>
      <c r="H8" s="13" t="s">
        <v>123</v>
      </c>
      <c r="I8" s="13" t="s">
        <v>124</v>
      </c>
      <c r="J8" s="5" t="s">
        <v>125</v>
      </c>
      <c r="K8" s="5" t="s">
        <v>126</v>
      </c>
      <c r="L8" s="13" t="s">
        <v>127</v>
      </c>
      <c r="M8" s="13" t="s">
        <v>128</v>
      </c>
      <c r="N8" s="5" t="s">
        <v>129</v>
      </c>
      <c r="O8" s="5" t="s">
        <v>130</v>
      </c>
      <c r="P8" s="13" t="s">
        <v>131</v>
      </c>
      <c r="Q8" s="13"/>
      <c r="R8" s="5"/>
      <c r="S8" s="5"/>
      <c r="T8" s="13"/>
      <c r="U8" s="13"/>
      <c r="V8" s="5"/>
      <c r="W8" s="5"/>
      <c r="X8" s="13"/>
      <c r="Y8" s="13"/>
      <c r="Z8" s="5"/>
      <c r="AA8" s="5"/>
      <c r="AB8" s="13"/>
    </row>
    <row r="9" spans="1:28" ht="27.6">
      <c r="A9" s="5" t="s">
        <v>40</v>
      </c>
      <c r="B9" s="5" t="s">
        <v>20</v>
      </c>
      <c r="C9" s="5" t="s">
        <v>21</v>
      </c>
      <c r="D9" s="5" t="s">
        <v>41</v>
      </c>
      <c r="E9" s="13" t="s">
        <v>132</v>
      </c>
      <c r="F9" s="5" t="s">
        <v>133</v>
      </c>
      <c r="G9" s="5" t="s">
        <v>134</v>
      </c>
      <c r="H9" s="13" t="s">
        <v>135</v>
      </c>
      <c r="I9" s="13" t="s">
        <v>136</v>
      </c>
      <c r="J9" s="5" t="s">
        <v>137</v>
      </c>
      <c r="K9" s="5" t="s">
        <v>138</v>
      </c>
      <c r="L9" s="13" t="s">
        <v>139</v>
      </c>
      <c r="M9" s="13" t="s">
        <v>140</v>
      </c>
      <c r="N9" s="5" t="s">
        <v>141</v>
      </c>
      <c r="O9" s="5" t="s">
        <v>142</v>
      </c>
      <c r="P9" s="13" t="s">
        <v>143</v>
      </c>
      <c r="Q9" s="13" t="s">
        <v>144</v>
      </c>
      <c r="R9" s="5" t="s">
        <v>145</v>
      </c>
      <c r="S9" s="5" t="s">
        <v>146</v>
      </c>
      <c r="T9" s="13" t="s">
        <v>147</v>
      </c>
      <c r="U9" s="13" t="s">
        <v>148</v>
      </c>
      <c r="V9" s="5" t="s">
        <v>149</v>
      </c>
      <c r="W9" s="5" t="s">
        <v>150</v>
      </c>
      <c r="X9" s="13" t="s">
        <v>151</v>
      </c>
      <c r="Y9" s="13"/>
      <c r="Z9" s="5"/>
      <c r="AA9" s="5"/>
      <c r="AB9" s="13"/>
    </row>
    <row r="10" spans="1:28" ht="27.6">
      <c r="A10" s="5" t="s">
        <v>40</v>
      </c>
      <c r="B10" s="5" t="s">
        <v>20</v>
      </c>
      <c r="C10" s="5" t="s">
        <v>21</v>
      </c>
      <c r="D10" s="5" t="s">
        <v>45</v>
      </c>
      <c r="E10" s="13" t="s">
        <v>152</v>
      </c>
      <c r="F10" s="5" t="s">
        <v>153</v>
      </c>
      <c r="G10" s="5" t="s">
        <v>154</v>
      </c>
      <c r="H10" s="13" t="s">
        <v>155</v>
      </c>
      <c r="I10" s="13" t="s">
        <v>156</v>
      </c>
      <c r="J10" s="5" t="s">
        <v>157</v>
      </c>
      <c r="K10" s="5" t="s">
        <v>158</v>
      </c>
      <c r="L10" s="13" t="s">
        <v>159</v>
      </c>
      <c r="M10" s="13" t="s">
        <v>160</v>
      </c>
      <c r="N10" s="5" t="s">
        <v>161</v>
      </c>
      <c r="O10" s="5" t="s">
        <v>162</v>
      </c>
      <c r="P10" s="13" t="s">
        <v>163</v>
      </c>
      <c r="Q10" s="13" t="s">
        <v>164</v>
      </c>
      <c r="R10" s="5" t="s">
        <v>165</v>
      </c>
      <c r="S10" s="5" t="s">
        <v>166</v>
      </c>
      <c r="T10" s="13" t="s">
        <v>167</v>
      </c>
      <c r="U10" s="13" t="s">
        <v>168</v>
      </c>
      <c r="V10" s="5" t="s">
        <v>169</v>
      </c>
      <c r="W10" s="5" t="s">
        <v>170</v>
      </c>
      <c r="X10" s="13" t="s">
        <v>171</v>
      </c>
      <c r="Y10" s="13"/>
      <c r="Z10" s="5"/>
      <c r="AA10" s="5"/>
      <c r="AB10" s="13"/>
    </row>
    <row r="11" spans="1:28">
      <c r="A11" s="5" t="s">
        <v>19</v>
      </c>
      <c r="B11" s="5" t="s">
        <v>20</v>
      </c>
      <c r="C11" s="5" t="s">
        <v>21</v>
      </c>
      <c r="D11" s="5" t="s">
        <v>49</v>
      </c>
      <c r="E11" s="13" t="s">
        <v>172</v>
      </c>
      <c r="F11" s="5" t="s">
        <v>173</v>
      </c>
      <c r="G11" s="5" t="s">
        <v>174</v>
      </c>
      <c r="H11" s="13" t="s">
        <v>175</v>
      </c>
      <c r="I11" s="13" t="s">
        <v>176</v>
      </c>
      <c r="J11" s="5" t="s">
        <v>177</v>
      </c>
      <c r="K11" s="5" t="s">
        <v>178</v>
      </c>
      <c r="L11" s="13" t="s">
        <v>179</v>
      </c>
      <c r="M11" s="13" t="s">
        <v>180</v>
      </c>
      <c r="N11" s="5" t="s">
        <v>181</v>
      </c>
      <c r="O11" s="5" t="s">
        <v>182</v>
      </c>
      <c r="P11" s="13" t="s">
        <v>183</v>
      </c>
      <c r="Q11" s="13" t="s">
        <v>184</v>
      </c>
      <c r="R11" s="5" t="s">
        <v>185</v>
      </c>
      <c r="S11" s="5" t="s">
        <v>186</v>
      </c>
      <c r="T11" s="13" t="s">
        <v>187</v>
      </c>
      <c r="U11" s="13"/>
      <c r="V11" s="5"/>
      <c r="W11" s="5"/>
      <c r="X11" s="13"/>
      <c r="Y11" s="13"/>
      <c r="Z11" s="5"/>
      <c r="AA11" s="5"/>
      <c r="AB11" s="13"/>
    </row>
    <row r="12" spans="1:28" ht="27.6">
      <c r="A12" s="5" t="s">
        <v>40</v>
      </c>
      <c r="B12" s="5" t="s">
        <v>20</v>
      </c>
      <c r="C12" s="5" t="s">
        <v>21</v>
      </c>
      <c r="D12" s="5" t="s">
        <v>53</v>
      </c>
      <c r="E12" s="13" t="s">
        <v>188</v>
      </c>
      <c r="F12" s="5" t="s">
        <v>189</v>
      </c>
      <c r="G12" s="5" t="s">
        <v>190</v>
      </c>
      <c r="H12" s="13" t="s">
        <v>191</v>
      </c>
      <c r="I12" s="13" t="s">
        <v>192</v>
      </c>
      <c r="J12" s="5" t="s">
        <v>193</v>
      </c>
      <c r="K12" s="5" t="s">
        <v>194</v>
      </c>
      <c r="L12" s="13" t="s">
        <v>195</v>
      </c>
      <c r="M12" s="13" t="s">
        <v>196</v>
      </c>
      <c r="N12" s="5" t="s">
        <v>197</v>
      </c>
      <c r="O12" s="5" t="s">
        <v>198</v>
      </c>
      <c r="P12" s="13" t="s">
        <v>199</v>
      </c>
      <c r="Q12" s="13" t="s">
        <v>200</v>
      </c>
      <c r="R12" s="5" t="s">
        <v>201</v>
      </c>
      <c r="S12" s="5" t="s">
        <v>202</v>
      </c>
      <c r="T12" s="13" t="s">
        <v>203</v>
      </c>
      <c r="U12" s="13"/>
      <c r="V12" s="5"/>
      <c r="W12" s="5"/>
      <c r="X12" s="13"/>
      <c r="Y12" s="13"/>
      <c r="Z12" s="5"/>
      <c r="AA12" s="5"/>
      <c r="AB12" s="13"/>
    </row>
    <row r="13" spans="1:28">
      <c r="A13" s="5" t="s">
        <v>40</v>
      </c>
      <c r="B13" s="5" t="s">
        <v>20</v>
      </c>
      <c r="C13" s="5" t="s">
        <v>21</v>
      </c>
      <c r="D13" s="5" t="s">
        <v>57</v>
      </c>
      <c r="E13" s="13" t="s">
        <v>204</v>
      </c>
      <c r="F13" s="5" t="s">
        <v>205</v>
      </c>
      <c r="G13" s="5" t="s">
        <v>206</v>
      </c>
      <c r="H13" s="13" t="s">
        <v>207</v>
      </c>
      <c r="I13" s="13"/>
      <c r="J13" s="5"/>
      <c r="K13" s="5"/>
      <c r="L13" s="13"/>
      <c r="M13" s="13"/>
      <c r="N13" s="5"/>
      <c r="O13" s="5"/>
      <c r="P13" s="13"/>
      <c r="Q13" s="13"/>
      <c r="R13" s="5"/>
      <c r="S13" s="5"/>
      <c r="T13" s="13"/>
      <c r="U13" s="13"/>
      <c r="V13" s="5"/>
      <c r="W13" s="5"/>
      <c r="X13" s="13"/>
      <c r="Y13" s="13"/>
      <c r="Z13" s="5"/>
      <c r="AA13" s="5"/>
      <c r="AB13" s="13"/>
    </row>
    <row r="14" spans="1:28" ht="27.6">
      <c r="A14" s="5" t="s">
        <v>61</v>
      </c>
      <c r="B14" s="5" t="s">
        <v>20</v>
      </c>
      <c r="C14" s="5" t="s">
        <v>21</v>
      </c>
      <c r="D14" s="5" t="s">
        <v>62</v>
      </c>
      <c r="E14" s="13" t="s">
        <v>208</v>
      </c>
      <c r="F14" s="5" t="s">
        <v>209</v>
      </c>
      <c r="G14" s="5" t="s">
        <v>210</v>
      </c>
      <c r="H14" s="13" t="s">
        <v>211</v>
      </c>
      <c r="I14" s="13" t="s">
        <v>212</v>
      </c>
      <c r="J14" s="5" t="s">
        <v>213</v>
      </c>
      <c r="K14" s="5" t="s">
        <v>214</v>
      </c>
      <c r="L14" s="13" t="s">
        <v>215</v>
      </c>
      <c r="M14" s="13" t="s">
        <v>216</v>
      </c>
      <c r="N14" s="5" t="s">
        <v>217</v>
      </c>
      <c r="O14" s="5" t="s">
        <v>218</v>
      </c>
      <c r="P14" s="13" t="s">
        <v>219</v>
      </c>
      <c r="Q14" s="13" t="s">
        <v>220</v>
      </c>
      <c r="R14" s="5" t="s">
        <v>221</v>
      </c>
      <c r="S14" s="5" t="s">
        <v>222</v>
      </c>
      <c r="T14" s="13" t="s">
        <v>223</v>
      </c>
      <c r="U14" s="13" t="s">
        <v>224</v>
      </c>
      <c r="V14" s="5" t="s">
        <v>225</v>
      </c>
      <c r="W14" s="5" t="s">
        <v>226</v>
      </c>
      <c r="X14" s="13" t="s">
        <v>227</v>
      </c>
      <c r="Y14" s="13"/>
      <c r="Z14" s="5"/>
      <c r="AA14" s="5"/>
      <c r="AB14" s="13"/>
    </row>
    <row r="15" spans="1:28" ht="27.6">
      <c r="A15" s="5" t="s">
        <v>19</v>
      </c>
      <c r="B15" s="5" t="s">
        <v>20</v>
      </c>
      <c r="C15" s="5" t="s">
        <v>21</v>
      </c>
      <c r="D15" s="5" t="s">
        <v>66</v>
      </c>
      <c r="E15" s="13" t="s">
        <v>228</v>
      </c>
      <c r="F15" s="5" t="s">
        <v>229</v>
      </c>
      <c r="G15" s="5" t="s">
        <v>230</v>
      </c>
      <c r="H15" s="13" t="s">
        <v>231</v>
      </c>
      <c r="I15" s="13" t="s">
        <v>232</v>
      </c>
      <c r="J15" s="5" t="s">
        <v>233</v>
      </c>
      <c r="K15" s="5" t="s">
        <v>234</v>
      </c>
      <c r="L15" s="13" t="s">
        <v>235</v>
      </c>
      <c r="M15" s="13" t="s">
        <v>236</v>
      </c>
      <c r="N15" s="5" t="s">
        <v>237</v>
      </c>
      <c r="O15" s="5" t="s">
        <v>238</v>
      </c>
      <c r="P15" s="13" t="s">
        <v>239</v>
      </c>
      <c r="Q15" s="13" t="s">
        <v>240</v>
      </c>
      <c r="R15" s="5" t="s">
        <v>241</v>
      </c>
      <c r="S15" s="5" t="s">
        <v>242</v>
      </c>
      <c r="T15" s="13" t="s">
        <v>243</v>
      </c>
      <c r="U15" s="13" t="s">
        <v>244</v>
      </c>
      <c r="V15" s="5" t="s">
        <v>245</v>
      </c>
      <c r="W15" s="5" t="s">
        <v>246</v>
      </c>
      <c r="X15" s="13" t="s">
        <v>247</v>
      </c>
      <c r="Y15" s="13" t="s">
        <v>248</v>
      </c>
      <c r="Z15" s="5" t="s">
        <v>249</v>
      </c>
      <c r="AA15" s="5" t="s">
        <v>250</v>
      </c>
      <c r="AB15" s="13" t="s">
        <v>251</v>
      </c>
    </row>
    <row r="16" spans="1:28" ht="27.6">
      <c r="A16" s="5" t="s">
        <v>40</v>
      </c>
      <c r="B16" s="5" t="s">
        <v>20</v>
      </c>
      <c r="C16" s="5" t="s">
        <v>21</v>
      </c>
      <c r="D16" s="5" t="s">
        <v>70</v>
      </c>
      <c r="E16" s="13" t="s">
        <v>252</v>
      </c>
      <c r="F16" s="5" t="s">
        <v>253</v>
      </c>
      <c r="G16" s="5" t="s">
        <v>254</v>
      </c>
      <c r="H16" s="13" t="s">
        <v>255</v>
      </c>
      <c r="I16" s="13" t="s">
        <v>256</v>
      </c>
      <c r="J16" s="5" t="s">
        <v>257</v>
      </c>
      <c r="K16" s="5" t="s">
        <v>258</v>
      </c>
      <c r="L16" s="13" t="s">
        <v>259</v>
      </c>
      <c r="M16" s="13" t="s">
        <v>260</v>
      </c>
      <c r="N16" s="5" t="s">
        <v>261</v>
      </c>
      <c r="O16" s="5" t="s">
        <v>262</v>
      </c>
      <c r="P16" s="13" t="s">
        <v>263</v>
      </c>
      <c r="Q16" s="13" t="s">
        <v>264</v>
      </c>
      <c r="R16" s="5" t="s">
        <v>265</v>
      </c>
      <c r="S16" s="5" t="s">
        <v>266</v>
      </c>
      <c r="T16" s="13" t="s">
        <v>267</v>
      </c>
      <c r="U16" s="13" t="s">
        <v>268</v>
      </c>
      <c r="V16" s="5" t="s">
        <v>269</v>
      </c>
      <c r="W16" s="5" t="s">
        <v>270</v>
      </c>
      <c r="X16" s="13" t="s">
        <v>271</v>
      </c>
      <c r="Y16" s="13"/>
      <c r="Z16" s="5"/>
      <c r="AA16" s="5"/>
      <c r="AB16" s="13"/>
    </row>
  </sheetData>
  <mergeCells count="2">
    <mergeCell ref="A1:AB1"/>
    <mergeCell ref="A2:A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Groups</vt:lpstr>
      <vt:lpstr>Student Roster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Chakraborty</cp:lastModifiedBy>
  <dcterms:modified xsi:type="dcterms:W3CDTF">2026-08-23T14:09:29Z</dcterms:modified>
</cp:coreProperties>
</file>